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Прогресс и риски" sheetId="2" state="visible" r:id="rId2"/>
    <sheet name="01 Авторизация" sheetId="3" state="visible" r:id="rId3"/>
    <sheet name="02 Права и изоляция" sheetId="4" state="visible" r:id="rId4"/>
    <sheet name="03 Пользователи" sheetId="5" state="visible" r:id="rId5"/>
    <sheet name="04 Лиды и статусы" sheetId="6" state="visible" r:id="rId6"/>
    <sheet name="05 Очередь обзвона" sheetId="7" state="visible" r:id="rId7"/>
    <sheet name="06 Звонок (цикл)" sheetId="8" state="visible" r:id="rId8"/>
    <sheet name="07 AI-анализ" sheetId="9" state="visible" r:id="rId9"/>
    <sheet name="08 AmoCRM" sheetId="10" state="visible" r:id="rId10"/>
    <sheet name="09 OnlinePBX" sheetId="11" state="visible" r:id="rId11"/>
    <sheet name="10 Тарифы" sheetId="12" state="visible" r:id="rId12"/>
    <sheet name="11 Локализация" sheetId="13" state="visible" r:id="rId13"/>
    <sheet name="12 Смены и посещаемость" sheetId="14" state="visible" r:id="rId14"/>
    <sheet name="13 Лендинг и сквозное" sheetId="15" state="visible" r:id="rId15"/>
    <sheet name="14 Отложенные до релиза" sheetId="16" state="visible" r:id="rId16"/>
    <sheet name="15 Диаграммы 25.07" sheetId="17" state="visible" r:id="rId17"/>
    <sheet name="16 Отложенные 25.07" sheetId="18" state="visible" r:id="rId18"/>
    <sheet name="17 Экраны и настройки" sheetId="19" state="visible" r:id="rId19"/>
    <sheet name="18 Релизная приемка" sheetId="20" state="visible" r:id="rId20"/>
  </sheets>
  <definedNames>
    <definedName name="_xlnm._FilterDatabase" localSheetId="0" hidden="1">'Сводка'!$A$1:$E$20</definedName>
    <definedName name="_xlnm._FilterDatabase" localSheetId="2" hidden="1">'01 Авторизация'!$A$1:$J$21</definedName>
    <definedName name="_xlnm._FilterDatabase" localSheetId="3" hidden="1">'02 Права и изоляция'!$A$1:$J$24</definedName>
    <definedName name="_xlnm._FilterDatabase" localSheetId="4" hidden="1">'03 Пользователи'!$A$1:$J$22</definedName>
    <definedName name="_xlnm._FilterDatabase" localSheetId="5" hidden="1">'04 Лиды и статусы'!$A$1:$J$28</definedName>
    <definedName name="_xlnm._FilterDatabase" localSheetId="6" hidden="1">'05 Очередь обзвона'!$A$1:$J$24</definedName>
    <definedName name="_xlnm._FilterDatabase" localSheetId="7" hidden="1">'06 Звонок (цикл)'!$A$1:$J$28</definedName>
    <definedName name="_xlnm._FilterDatabase" localSheetId="8" hidden="1">'07 AI-анализ'!$A$1:$J$25</definedName>
    <definedName name="_xlnm._FilterDatabase" localSheetId="9" hidden="1">'08 AmoCRM'!$A$1:$J$35</definedName>
    <definedName name="_xlnm._FilterDatabase" localSheetId="10" hidden="1">'09 OnlinePBX'!$A$1:$J$28</definedName>
    <definedName name="_xlnm._FilterDatabase" localSheetId="11" hidden="1">'10 Тарифы'!$A$1:$J$27</definedName>
    <definedName name="_xlnm._FilterDatabase" localSheetId="12" hidden="1">'11 Локализация'!$A$1:$J$21</definedName>
    <definedName name="_xlnm._FilterDatabase" localSheetId="13" hidden="1">'12 Смены и посещаемость'!$A$1:$J$36</definedName>
    <definedName name="_xlnm._FilterDatabase" localSheetId="14" hidden="1">'13 Лендинг и сквозное'!$A$1:$J$31</definedName>
    <definedName name="_xlnm._FilterDatabase" localSheetId="15" hidden="1">'14 Отложенные до релиза'!$A$1:$J$14</definedName>
    <definedName name="_xlnm._FilterDatabase" localSheetId="16" hidden="1">'15 Диаграммы 25.07'!$A$1:$J$5</definedName>
    <definedName name="_xlnm._FilterDatabase" localSheetId="17" hidden="1">'16 Отложенные 25.07'!$A$1:$J$3</definedName>
    <definedName name="_xlnm._FilterDatabase" localSheetId="18" hidden="1">'17 Экраны и настройки'!$A$1:$J$17</definedName>
    <definedName name="_xlnm._FilterDatabase" localSheetId="19" hidden="1">'18 Релизная приемка'!$A$1:$J$29</definedName>
  </definedNames>
  <calcPr calcId="124519" calcMode="auto" fullCalcOnLoad="1" forceFullCalc="1"/>
</workbook>
</file>

<file path=xl/styles.xml><?xml version="1.0" encoding="utf-8"?>
<styleSheet xmlns="http://schemas.openxmlformats.org/spreadsheetml/2006/main">
  <numFmts count="0"/>
  <fonts count="12">
    <font>
      <name val="Calibri"/>
      <family val="2"/>
      <color theme="1"/>
      <sz val="11"/>
      <scheme val="minor"/>
    </font>
    <font>
      <b val="1"/>
      <color rgb="00FFFFFF"/>
      <sz val="11"/>
    </font>
    <font>
      <b val="1"/>
      <color rgb="00FFFFFF"/>
    </font>
    <font>
      <color rgb="009C0006"/>
    </font>
    <font>
      <color rgb="009C6500"/>
    </font>
    <font>
      <color rgb="00006100"/>
    </font>
    <font>
      <b val="1"/>
    </font>
    <font>
      <b val="1"/>
      <color rgb="001F4E78"/>
      <sz val="14"/>
    </font>
    <font>
      <i val="1"/>
      <color rgb="00595959"/>
      <sz val="10"/>
    </font>
    <font>
      <i val="1"/>
      <color rgb="009C0006"/>
      <sz val="10"/>
    </font>
    <font>
      <i val="1"/>
      <color rgb="00595959"/>
    </font>
    <font>
      <b val="1"/>
      <color rgb="001F4E78"/>
      <sz val="12"/>
    </font>
  </fonts>
  <fills count="9">
    <fill>
      <patternFill/>
    </fill>
    <fill>
      <patternFill patternType="gray125"/>
    </fill>
    <fill>
      <patternFill patternType="solid">
        <fgColor rgb="001F4E78"/>
      </patternFill>
    </fill>
    <fill>
      <patternFill patternType="solid">
        <fgColor rgb="00C00000"/>
      </patternFill>
    </fill>
    <fill>
      <patternFill patternType="solid">
        <fgColor rgb="00FFC7CE"/>
      </patternFill>
    </fill>
    <fill>
      <patternFill patternType="solid">
        <fgColor rgb="00FFEB9C"/>
      </patternFill>
    </fill>
    <fill>
      <patternFill patternType="solid">
        <fgColor rgb="00E2EFDA"/>
      </patternFill>
    </fill>
    <fill>
      <patternFill patternType="solid">
        <fgColor rgb="00DDEBF7"/>
      </patternFill>
    </fill>
    <fill>
      <patternFill patternType="solid">
        <fgColor rgb="00E8EDF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6" fillId="7"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 fillId="2" borderId="0" applyAlignment="1" pivotButton="0" quotePrefix="0" xfId="0">
      <alignment horizontal="center" vertical="center"/>
    </xf>
    <xf numFmtId="0" fontId="0" fillId="0" borderId="1" pivotButton="0" quotePrefix="0" xfId="0"/>
    <xf numFmtId="9" fontId="0" fillId="0" borderId="1" pivotButton="0" quotePrefix="0" xfId="0"/>
    <xf numFmtId="0" fontId="6" fillId="8" borderId="1" pivotButton="0" quotePrefix="0" xfId="0"/>
    <xf numFmtId="9" fontId="6" fillId="8" borderId="1" pivotButton="0" quotePrefix="0" xfId="0"/>
    <xf numFmtId="0" fontId="8" fillId="0" borderId="0" pivotButton="0" quotePrefix="0" xfId="0"/>
    <xf numFmtId="0" fontId="10" fillId="0" borderId="1" pivotButton="0" quotePrefix="0" xfId="0"/>
    <xf numFmtId="0" fontId="10" fillId="0" borderId="1" applyAlignment="1" pivotButton="0" quotePrefix="0" xfId="0">
      <alignment horizontal="center"/>
    </xf>
    <xf numFmtId="0" fontId="11" fillId="0"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6" borderId="1" applyAlignment="1" pivotButton="0" quotePrefix="0" xfId="0">
      <alignment horizontal="center" vertical="center" wrapText="1"/>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ont>
        <color rgb="009C6500"/>
      </font>
      <fill>
        <patternFill patternType="solid">
          <fgColor rgb="00FFEB9C"/>
        </patternFill>
      </fill>
    </dxf>
    <dxf>
      <font>
        <color rgb="0059595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80" customWidth="1" min="3" max="3"/>
    <col width="12" customWidth="1" min="4" max="4"/>
    <col width="10" customWidth="1" min="5" max="5"/>
  </cols>
  <sheetData>
    <row r="1" ht="28" customHeight="1">
      <c r="A1" s="1" t="inlineStr">
        <is>
          <t>Раздел</t>
        </is>
      </c>
      <c r="B1" s="1" t="inlineStr">
        <is>
          <t>Лист</t>
        </is>
      </c>
      <c r="C1" s="1" t="inlineStr">
        <is>
          <t>Маршруты / охват</t>
        </is>
      </c>
      <c r="D1" s="1" t="inlineStr">
        <is>
          <t>Слой</t>
        </is>
      </c>
      <c r="E1" s="1" t="inlineStr">
        <is>
          <t>Кейсов</t>
        </is>
      </c>
    </row>
    <row r="2">
      <c r="A2" s="2" t="inlineStr">
        <is>
          <t>Web — Авторизация и сессии</t>
        </is>
      </c>
      <c r="B2" s="2" t="inlineStr">
        <is>
          <t>01 Авторизация</t>
        </is>
      </c>
      <c r="C2" s="2" t="inlineStr">
        <is>
          <t>Вход по ролям · выход · refresh · rate limit · защита сессии</t>
        </is>
      </c>
      <c r="D2" s="3" t="inlineStr">
        <is>
          <t>WEB</t>
        </is>
      </c>
      <c r="E2" s="3" t="n">
        <v>20</v>
      </c>
    </row>
    <row r="3">
      <c r="A3" s="2" t="inlineStr">
        <is>
          <t>Web/API — RBAC и tenant-изоляция</t>
        </is>
      </c>
      <c r="B3" s="2" t="inlineStr">
        <is>
          <t>02 Права и изоляция</t>
        </is>
      </c>
      <c r="C3" s="2" t="inlineStr">
        <is>
          <t>Роли · 401/403/404 · чужие tenant ID · прямые URL · эскалация прав</t>
        </is>
      </c>
      <c r="D3" s="3" t="inlineStr">
        <is>
          <t>WEB/API</t>
        </is>
      </c>
      <c r="E3" s="3" t="n">
        <v>23</v>
      </c>
    </row>
    <row r="4">
      <c r="A4" s="2" t="inlineStr">
        <is>
          <t>Web — Пользователи</t>
        </is>
      </c>
      <c r="B4" s="2" t="inlineStr">
        <is>
          <t>03 Пользователи</t>
        </is>
      </c>
      <c r="C4" s="2" t="inlineStr">
        <is>
          <t>Создание · редактирование · блокировка · валидация · привязка ролей</t>
        </is>
      </c>
      <c r="D4" s="3" t="inlineStr">
        <is>
          <t>WEB</t>
        </is>
      </c>
      <c r="E4" s="3" t="n">
        <v>21</v>
      </c>
    </row>
    <row r="5">
      <c r="A5" s="2" t="inlineStr">
        <is>
          <t>Web/API — Лиды и статусы</t>
        </is>
      </c>
      <c r="B5" s="2" t="inlineStr">
        <is>
          <t>04 Лиды и статусы</t>
        </is>
      </c>
      <c r="C5" s="2" t="inlineStr">
        <is>
          <t>Список и карточка · статусы AmoCRM · попытки · даты · финальные состояния</t>
        </is>
      </c>
      <c r="D5" s="3" t="inlineStr">
        <is>
          <t>WEB/API</t>
        </is>
      </c>
      <c r="E5" s="3" t="n">
        <v>27</v>
      </c>
    </row>
    <row r="6">
      <c r="A6" s="2" t="inlineStr">
        <is>
          <t>Web/API — Очередь обзвона</t>
        </is>
      </c>
      <c r="B6" s="2" t="inlineStr">
        <is>
          <t>05 Очередь обзвона</t>
        </is>
      </c>
      <c r="C6" s="2" t="inlineStr">
        <is>
          <t>Правила выборки · приоритет · захват · конкуренция · возврат лида</t>
        </is>
      </c>
      <c r="D6" s="3" t="inlineStr">
        <is>
          <t>WEB/API</t>
        </is>
      </c>
      <c r="E6" s="3" t="n">
        <v>23</v>
      </c>
    </row>
    <row r="7">
      <c r="A7" s="2" t="inlineStr">
        <is>
          <t>Web/API — Цикл звонка</t>
        </is>
      </c>
      <c r="B7" s="2" t="inlineStr">
        <is>
          <t>06 Звонок (цикл)</t>
        </is>
      </c>
      <c r="C7" s="2" t="inlineStr">
        <is>
          <t>Старт · WebRTC · исход звонка · подтверждение · повтор · история</t>
        </is>
      </c>
      <c r="D7" s="3" t="inlineStr">
        <is>
          <t>WEB/API</t>
        </is>
      </c>
      <c r="E7" s="3" t="n">
        <v>27</v>
      </c>
    </row>
    <row r="8">
      <c r="A8" s="2" t="inlineStr">
        <is>
          <t>Web/API — AI-анализ</t>
        </is>
      </c>
      <c r="B8" s="2" t="inlineStr">
        <is>
          <t>07 AI-анализ</t>
        </is>
      </c>
      <c r="C8" s="2" t="inlineStr">
        <is>
          <t>Аудио · транскрипция · структурированный результат · ошибки · ручная проверка</t>
        </is>
      </c>
      <c r="D8" s="3" t="inlineStr">
        <is>
          <t>WEB/API</t>
        </is>
      </c>
      <c r="E8" s="3" t="n">
        <v>24</v>
      </c>
    </row>
    <row r="9">
      <c r="A9" s="2" t="inlineStr">
        <is>
          <t>Web/API — Интеграция AmoCRM</t>
        </is>
      </c>
      <c r="B9" s="2" t="inlineStr">
        <is>
          <t>08 AmoCRM</t>
        </is>
      </c>
      <c r="C9" s="2" t="inlineStr">
        <is>
          <t>OAuth · синхронизация · вебхуки · статусы · поля · идемпотентность</t>
        </is>
      </c>
      <c r="D9" s="3" t="inlineStr">
        <is>
          <t>WEB/API</t>
        </is>
      </c>
      <c r="E9" s="3" t="n">
        <v>34</v>
      </c>
    </row>
    <row r="10">
      <c r="A10" s="2" t="inlineStr">
        <is>
          <t>Web/API — Интеграция OnlinePBX</t>
        </is>
      </c>
      <c r="B10" s="2" t="inlineStr">
        <is>
          <t>09 OnlinePBX</t>
        </is>
      </c>
      <c r="C10" s="2" t="inlineStr">
        <is>
          <t>Подключение · звонок · события · аудио · повторы · восстановление</t>
        </is>
      </c>
      <c r="D10" s="3" t="inlineStr">
        <is>
          <t>WEB/API</t>
        </is>
      </c>
      <c r="E10" s="3" t="n">
        <v>27</v>
      </c>
    </row>
    <row r="11">
      <c r="A11" s="2" t="inlineStr">
        <is>
          <t>Web/API — Тарифы и лимиты</t>
        </is>
      </c>
      <c r="B11" s="2" t="inlineStr">
        <is>
          <t>10 Тарифы</t>
        </is>
      </c>
      <c r="C11" s="2" t="inlineStr">
        <is>
          <t>CRUD тарифов · назначение · ограничения · списания · границы</t>
        </is>
      </c>
      <c r="D11" s="3" t="inlineStr">
        <is>
          <t>WEB/API</t>
        </is>
      </c>
      <c r="E11" s="3" t="n">
        <v>26</v>
      </c>
    </row>
    <row r="12">
      <c r="A12" s="2" t="inlineStr">
        <is>
          <t>Web/API — Локализация</t>
        </is>
      </c>
      <c r="B12" s="2" t="inlineStr">
        <is>
          <t>11 Локализация</t>
        </is>
      </c>
      <c r="C12" s="2" t="inlineStr">
        <is>
          <t>Переводы · переключение языка · даты · числа · ошибки · длинный текст</t>
        </is>
      </c>
      <c r="D12" s="3" t="inlineStr">
        <is>
          <t>WEB/API</t>
        </is>
      </c>
      <c r="E12" s="3" t="n">
        <v>20</v>
      </c>
    </row>
    <row r="13">
      <c r="A13" s="2" t="inlineStr">
        <is>
          <t>Web/API — Смены и посещаемость</t>
        </is>
      </c>
      <c r="B13" s="2" t="inlineStr">
        <is>
          <t>12 Смены и посещаемость</t>
        </is>
      </c>
      <c r="C13" s="2" t="inlineStr">
        <is>
          <t>Старт и конец смены · перерывы · таймеры · история · ограничения</t>
        </is>
      </c>
      <c r="D13" s="3" t="inlineStr">
        <is>
          <t>WEB/API</t>
        </is>
      </c>
      <c r="E13" s="3" t="n">
        <v>35</v>
      </c>
    </row>
    <row r="14">
      <c r="A14" s="2" t="inlineStr">
        <is>
          <t>Web/API — Лендинг и сквозные пути</t>
        </is>
      </c>
      <c r="B14" s="2" t="inlineStr">
        <is>
          <t>13 Лендинг и сквозное</t>
        </is>
      </c>
      <c r="C14" s="2" t="inlineStr">
        <is>
          <t>Форма заявки · валидация · интеграция · безопасность · клиентские пути</t>
        </is>
      </c>
      <c r="D14" s="3" t="inlineStr">
        <is>
          <t>WEB/API</t>
        </is>
      </c>
      <c r="E14" s="3" t="n">
        <v>30</v>
      </c>
    </row>
    <row r="15">
      <c r="A15" s="2" t="inlineStr">
        <is>
          <t>Будущий релиз — Отложенные функции</t>
        </is>
      </c>
      <c r="B15" s="2" t="inlineStr">
        <is>
          <t>14 Отложенные до релиза</t>
        </is>
      </c>
      <c r="C15" s="2" t="inlineStr">
        <is>
          <t>Утверждено, но ещё не реализовано или не выложено на staging</t>
        </is>
      </c>
      <c r="D15" s="3" t="inlineStr">
        <is>
          <t>WEB/API</t>
        </is>
      </c>
      <c r="E15" s="3" t="n">
        <v>13</v>
      </c>
    </row>
    <row r="16">
      <c r="A16" s="2" t="inlineStr">
        <is>
          <t>Web/API — Решения диаграмм 25.07</t>
        </is>
      </c>
      <c r="B16" s="2" t="inlineStr">
        <is>
          <t>15 Диаграммы 25.07</t>
        </is>
      </c>
      <c r="C16" s="2" t="inlineStr">
        <is>
          <t>Отмена автостатуса · счётчик попыток · Sifatsiz · формы воронок</t>
        </is>
      </c>
      <c r="D16" s="3" t="inlineStr">
        <is>
          <t>WEB/API</t>
        </is>
      </c>
      <c r="E16" s="3" t="n">
        <v>4</v>
      </c>
    </row>
    <row r="17">
      <c r="A17" s="2" t="inlineStr">
        <is>
          <t>Будущий релиз — Решения диаграмм 25.07</t>
        </is>
      </c>
      <c r="B17" s="2" t="inlineStr">
        <is>
          <t>16 Отложенные 25.07</t>
        </is>
      </c>
      <c r="C17" s="2" t="inlineStr">
        <is>
          <t>Фиолетовые правила диаграмм, ожидающие реализации</t>
        </is>
      </c>
      <c r="D17" s="3" t="inlineStr">
        <is>
          <t>WEB/API</t>
        </is>
      </c>
      <c r="E17" s="3" t="n">
        <v>2</v>
      </c>
    </row>
    <row r="18">
      <c r="A18" s="2" t="inlineStr">
        <is>
          <t>Web/API — Экраны и настройки</t>
        </is>
      </c>
      <c r="B18" s="2" t="inlineStr">
        <is>
          <t>17 Экраны и настройки</t>
        </is>
      </c>
      <c r="C18" s="2" t="inlineStr">
        <is>
          <t>Карта экранов · навигация · формы · real-time · сохранение настроек</t>
        </is>
      </c>
      <c r="D18" s="3" t="inlineStr">
        <is>
          <t>WEB/API</t>
        </is>
      </c>
      <c r="E18" s="3" t="n">
        <v>16</v>
      </c>
    </row>
    <row r="19">
      <c r="A19" s="2" t="inlineStr">
        <is>
          <t>Web/API — Релизная приёмка</t>
        </is>
      </c>
      <c r="B19" s="2" t="inlineStr">
        <is>
          <t>18 Релизная приемка</t>
        </is>
      </c>
      <c r="C19" s="2" t="inlineStr">
        <is>
          <t>Health · деплой · браузеры · отказоустойчивость · безопасность · E2E</t>
        </is>
      </c>
      <c r="D19" s="3" t="inlineStr">
        <is>
          <t>WEB/API</t>
        </is>
      </c>
      <c r="E19" s="3" t="n">
        <v>28</v>
      </c>
    </row>
    <row r="20">
      <c r="A20" s="4" t="inlineStr">
        <is>
          <t>ИТОГО</t>
        </is>
      </c>
      <c r="B20" s="5" t="inlineStr"/>
      <c r="C20" s="5" t="inlineStr">
        <is>
          <t>API 35 · Web 229 · Web+API 136</t>
        </is>
      </c>
      <c r="D20" s="6" t="inlineStr"/>
      <c r="E20" s="7" t="n">
        <v>400</v>
      </c>
    </row>
  </sheetData>
  <autoFilter ref="A1:E20"/>
  <pageMargins left="0.75" right="0.75" top="1" bottom="1" header="0.5" footer="0.5"/>
</worksheet>
</file>

<file path=xl/worksheets/sheet2.xml><?xml version="1.0" encoding="utf-8"?>
<worksheet xmlns="http://schemas.openxmlformats.org/spreadsheetml/2006/main">
  <sheetPr>
    <tabColor rgb="00DDEBF7"/>
    <outlinePr summaryBelow="1" summaryRight="1"/>
    <pageSetUpPr/>
  </sheetPr>
  <dimension ref="A1:G51"/>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s>
  <sheetData>
    <row r="1">
      <c r="A1" s="8" t="inlineStr">
        <is>
          <t>Operator AI — тест-кейсы ручного тестирования</t>
        </is>
      </c>
    </row>
    <row r="2" ht="40" customHeight="1">
      <c r="A2" s="9" t="inlineStr">
        <is>
          <t>Как пользоваться: открой лист модуля, выполни шаги кейса на тестовом стенде, в «Комментарий» допиши фактический результат, ссылку на баг или доказательство и поставь «Статус» из выпадающего списка. Статистика ниже пересчитается сама.</t>
        </is>
      </c>
    </row>
    <row r="3" ht="40" customHeight="1">
      <c r="A3" s="10" t="inlineStr">
        <is>
          <t>Все проверки — только на тестовом стенде (staging). Учётные данные и токены — в .env, в этот файл их не вписываем. Названия кнопок даны по-русски, в скобках — узбекский вариант интерфейса. Начало «Комментария» содержит теги: web — браузер, api — запрос (curl/Postman), positive/negative/boundary и другие — тип сценария. {STAGE_API_URL} в командах замени на адрес бэкенда тестового стенда из .env.</t>
        </is>
      </c>
    </row>
    <row r="5">
      <c r="A5" s="11" t="inlineStr">
        <is>
          <t>Модуль</t>
        </is>
      </c>
      <c r="B5" s="11" t="inlineStr">
        <is>
          <t>Кейсов</t>
        </is>
      </c>
      <c r="C5" s="11" t="inlineStr">
        <is>
          <t>Passed</t>
        </is>
      </c>
      <c r="D5" s="11" t="inlineStr">
        <is>
          <t>Failed</t>
        </is>
      </c>
      <c r="E5" s="11" t="inlineStr">
        <is>
          <t>Blocked</t>
        </is>
      </c>
      <c r="F5" s="11" t="inlineStr">
        <is>
          <t>Not Run</t>
        </is>
      </c>
      <c r="G5" s="11" t="inlineStr">
        <is>
          <t>% пройдено</t>
        </is>
      </c>
    </row>
    <row r="6">
      <c r="A6" s="12" t="inlineStr">
        <is>
          <t>01 Авторизация</t>
        </is>
      </c>
      <c r="B6" s="12" t="n">
        <v>20</v>
      </c>
      <c r="C6" s="12">
        <f>COUNTIF('01 Авторизация'!$I$2:$I$21,"Passed")</f>
        <v/>
      </c>
      <c r="D6" s="12">
        <f>COUNTIF('01 Авторизация'!$I$2:$I$21,"Failed")</f>
        <v/>
      </c>
      <c r="E6" s="12">
        <f>COUNTIF('01 Авторизация'!$I$2:$I$21,"Blocked")</f>
        <v/>
      </c>
      <c r="F6" s="12">
        <f>COUNTIF('01 Авторизация'!$I$2:$I$21,"Not Run")</f>
        <v/>
      </c>
      <c r="G6" s="13">
        <f>IF(B6=0,0,C6/B6)</f>
        <v/>
      </c>
    </row>
    <row r="7">
      <c r="A7" s="12" t="inlineStr">
        <is>
          <t>02 Права и изоляция</t>
        </is>
      </c>
      <c r="B7" s="12" t="n">
        <v>23</v>
      </c>
      <c r="C7" s="12">
        <f>COUNTIF('02 Права и изоляция'!$I$2:$I$24,"Passed")</f>
        <v/>
      </c>
      <c r="D7" s="12">
        <f>COUNTIF('02 Права и изоляция'!$I$2:$I$24,"Failed")</f>
        <v/>
      </c>
      <c r="E7" s="12">
        <f>COUNTIF('02 Права и изоляция'!$I$2:$I$24,"Blocked")</f>
        <v/>
      </c>
      <c r="F7" s="12">
        <f>COUNTIF('02 Права и изоляция'!$I$2:$I$24,"Not Run")</f>
        <v/>
      </c>
      <c r="G7" s="13">
        <f>IF(B7=0,0,C7/B7)</f>
        <v/>
      </c>
    </row>
    <row r="8">
      <c r="A8" s="12" t="inlineStr">
        <is>
          <t>03 Пользователи</t>
        </is>
      </c>
      <c r="B8" s="12" t="n">
        <v>21</v>
      </c>
      <c r="C8" s="12">
        <f>COUNTIF('03 Пользователи'!$I$2:$I$22,"Passed")</f>
        <v/>
      </c>
      <c r="D8" s="12">
        <f>COUNTIF('03 Пользователи'!$I$2:$I$22,"Failed")</f>
        <v/>
      </c>
      <c r="E8" s="12">
        <f>COUNTIF('03 Пользователи'!$I$2:$I$22,"Blocked")</f>
        <v/>
      </c>
      <c r="F8" s="12">
        <f>COUNTIF('03 Пользователи'!$I$2:$I$22,"Not Run")</f>
        <v/>
      </c>
      <c r="G8" s="13">
        <f>IF(B8=0,0,C8/B8)</f>
        <v/>
      </c>
    </row>
    <row r="9">
      <c r="A9" s="12" t="inlineStr">
        <is>
          <t>04 Лиды и статусы</t>
        </is>
      </c>
      <c r="B9" s="12" t="n">
        <v>27</v>
      </c>
      <c r="C9" s="12">
        <f>COUNTIF('04 Лиды и статусы'!$I$2:$I$28,"Passed")</f>
        <v/>
      </c>
      <c r="D9" s="12">
        <f>COUNTIF('04 Лиды и статусы'!$I$2:$I$28,"Failed")</f>
        <v/>
      </c>
      <c r="E9" s="12">
        <f>COUNTIF('04 Лиды и статусы'!$I$2:$I$28,"Blocked")</f>
        <v/>
      </c>
      <c r="F9" s="12">
        <f>COUNTIF('04 Лиды и статусы'!$I$2:$I$28,"Not Run")</f>
        <v/>
      </c>
      <c r="G9" s="13">
        <f>IF(B9=0,0,C9/B9)</f>
        <v/>
      </c>
    </row>
    <row r="10">
      <c r="A10" s="12" t="inlineStr">
        <is>
          <t>05 Очередь обзвона</t>
        </is>
      </c>
      <c r="B10" s="12" t="n">
        <v>23</v>
      </c>
      <c r="C10" s="12">
        <f>COUNTIF('05 Очередь обзвона'!$I$2:$I$24,"Passed")</f>
        <v/>
      </c>
      <c r="D10" s="12">
        <f>COUNTIF('05 Очередь обзвона'!$I$2:$I$24,"Failed")</f>
        <v/>
      </c>
      <c r="E10" s="12">
        <f>COUNTIF('05 Очередь обзвона'!$I$2:$I$24,"Blocked")</f>
        <v/>
      </c>
      <c r="F10" s="12">
        <f>COUNTIF('05 Очередь обзвона'!$I$2:$I$24,"Not Run")</f>
        <v/>
      </c>
      <c r="G10" s="13">
        <f>IF(B10=0,0,C10/B10)</f>
        <v/>
      </c>
    </row>
    <row r="11">
      <c r="A11" s="12" t="inlineStr">
        <is>
          <t>06 Звонок (цикл)</t>
        </is>
      </c>
      <c r="B11" s="12" t="n">
        <v>27</v>
      </c>
      <c r="C11" s="12">
        <f>COUNTIF('06 Звонок (цикл)'!$I$2:$I$28,"Passed")</f>
        <v/>
      </c>
      <c r="D11" s="12">
        <f>COUNTIF('06 Звонок (цикл)'!$I$2:$I$28,"Failed")</f>
        <v/>
      </c>
      <c r="E11" s="12">
        <f>COUNTIF('06 Звонок (цикл)'!$I$2:$I$28,"Blocked")</f>
        <v/>
      </c>
      <c r="F11" s="12">
        <f>COUNTIF('06 Звонок (цикл)'!$I$2:$I$28,"Not Run")</f>
        <v/>
      </c>
      <c r="G11" s="13">
        <f>IF(B11=0,0,C11/B11)</f>
        <v/>
      </c>
    </row>
    <row r="12">
      <c r="A12" s="12" t="inlineStr">
        <is>
          <t>07 AI-анализ</t>
        </is>
      </c>
      <c r="B12" s="12" t="n">
        <v>24</v>
      </c>
      <c r="C12" s="12">
        <f>COUNTIF('07 AI-анализ'!$I$2:$I$25,"Passed")</f>
        <v/>
      </c>
      <c r="D12" s="12">
        <f>COUNTIF('07 AI-анализ'!$I$2:$I$25,"Failed")</f>
        <v/>
      </c>
      <c r="E12" s="12">
        <f>COUNTIF('07 AI-анализ'!$I$2:$I$25,"Blocked")</f>
        <v/>
      </c>
      <c r="F12" s="12">
        <f>COUNTIF('07 AI-анализ'!$I$2:$I$25,"Not Run")</f>
        <v/>
      </c>
      <c r="G12" s="13">
        <f>IF(B12=0,0,C12/B12)</f>
        <v/>
      </c>
    </row>
    <row r="13">
      <c r="A13" s="12" t="inlineStr">
        <is>
          <t>08 AmoCRM</t>
        </is>
      </c>
      <c r="B13" s="12" t="n">
        <v>34</v>
      </c>
      <c r="C13" s="12">
        <f>COUNTIF('08 AmoCRM'!$I$2:$I$35,"Passed")</f>
        <v/>
      </c>
      <c r="D13" s="12">
        <f>COUNTIF('08 AmoCRM'!$I$2:$I$35,"Failed")</f>
        <v/>
      </c>
      <c r="E13" s="12">
        <f>COUNTIF('08 AmoCRM'!$I$2:$I$35,"Blocked")</f>
        <v/>
      </c>
      <c r="F13" s="12">
        <f>COUNTIF('08 AmoCRM'!$I$2:$I$35,"Not Run")</f>
        <v/>
      </c>
      <c r="G13" s="13">
        <f>IF(B13=0,0,C13/B13)</f>
        <v/>
      </c>
    </row>
    <row r="14">
      <c r="A14" s="12" t="inlineStr">
        <is>
          <t>09 OnlinePBX</t>
        </is>
      </c>
      <c r="B14" s="12" t="n">
        <v>27</v>
      </c>
      <c r="C14" s="12">
        <f>COUNTIF('09 OnlinePBX'!$I$2:$I$28,"Passed")</f>
        <v/>
      </c>
      <c r="D14" s="12">
        <f>COUNTIF('09 OnlinePBX'!$I$2:$I$28,"Failed")</f>
        <v/>
      </c>
      <c r="E14" s="12">
        <f>COUNTIF('09 OnlinePBX'!$I$2:$I$28,"Blocked")</f>
        <v/>
      </c>
      <c r="F14" s="12">
        <f>COUNTIF('09 OnlinePBX'!$I$2:$I$28,"Not Run")</f>
        <v/>
      </c>
      <c r="G14" s="13">
        <f>IF(B14=0,0,C14/B14)</f>
        <v/>
      </c>
    </row>
    <row r="15">
      <c r="A15" s="12" t="inlineStr">
        <is>
          <t>10 Тарифы</t>
        </is>
      </c>
      <c r="B15" s="12" t="n">
        <v>26</v>
      </c>
      <c r="C15" s="12">
        <f>COUNTIF('10 Тарифы'!$I$2:$I$27,"Passed")</f>
        <v/>
      </c>
      <c r="D15" s="12">
        <f>COUNTIF('10 Тарифы'!$I$2:$I$27,"Failed")</f>
        <v/>
      </c>
      <c r="E15" s="12">
        <f>COUNTIF('10 Тарифы'!$I$2:$I$27,"Blocked")</f>
        <v/>
      </c>
      <c r="F15" s="12">
        <f>COUNTIF('10 Тарифы'!$I$2:$I$27,"Not Run")</f>
        <v/>
      </c>
      <c r="G15" s="13">
        <f>IF(B15=0,0,C15/B15)</f>
        <v/>
      </c>
    </row>
    <row r="16">
      <c r="A16" s="12" t="inlineStr">
        <is>
          <t>11 Локализация</t>
        </is>
      </c>
      <c r="B16" s="12" t="n">
        <v>20</v>
      </c>
      <c r="C16" s="12">
        <f>COUNTIF('11 Локализация'!$I$2:$I$21,"Passed")</f>
        <v/>
      </c>
      <c r="D16" s="12">
        <f>COUNTIF('11 Локализация'!$I$2:$I$21,"Failed")</f>
        <v/>
      </c>
      <c r="E16" s="12">
        <f>COUNTIF('11 Локализация'!$I$2:$I$21,"Blocked")</f>
        <v/>
      </c>
      <c r="F16" s="12">
        <f>COUNTIF('11 Локализация'!$I$2:$I$21,"Not Run")</f>
        <v/>
      </c>
      <c r="G16" s="13">
        <f>IF(B16=0,0,C16/B16)</f>
        <v/>
      </c>
    </row>
    <row r="17">
      <c r="A17" s="12" t="inlineStr">
        <is>
          <t>12 Смены и посещаемость</t>
        </is>
      </c>
      <c r="B17" s="12" t="n">
        <v>35</v>
      </c>
      <c r="C17" s="12">
        <f>COUNTIF('12 Смены и посещаемость'!$I$2:$I$36,"Passed")</f>
        <v/>
      </c>
      <c r="D17" s="12">
        <f>COUNTIF('12 Смены и посещаемость'!$I$2:$I$36,"Failed")</f>
        <v/>
      </c>
      <c r="E17" s="12">
        <f>COUNTIF('12 Смены и посещаемость'!$I$2:$I$36,"Blocked")</f>
        <v/>
      </c>
      <c r="F17" s="12">
        <f>COUNTIF('12 Смены и посещаемость'!$I$2:$I$36,"Not Run")</f>
        <v/>
      </c>
      <c r="G17" s="13">
        <f>IF(B17=0,0,C17/B17)</f>
        <v/>
      </c>
    </row>
    <row r="18">
      <c r="A18" s="12" t="inlineStr">
        <is>
          <t>13 Лендинг и сквозное</t>
        </is>
      </c>
      <c r="B18" s="12" t="n">
        <v>30</v>
      </c>
      <c r="C18" s="12">
        <f>COUNTIF('13 Лендинг и сквозное'!$I$2:$I$31,"Passed")</f>
        <v/>
      </c>
      <c r="D18" s="12">
        <f>COUNTIF('13 Лендинг и сквозное'!$I$2:$I$31,"Failed")</f>
        <v/>
      </c>
      <c r="E18" s="12">
        <f>COUNTIF('13 Лендинг и сквозное'!$I$2:$I$31,"Blocked")</f>
        <v/>
      </c>
      <c r="F18" s="12">
        <f>COUNTIF('13 Лендинг и сквозное'!$I$2:$I$31,"Not Run")</f>
        <v/>
      </c>
      <c r="G18" s="13">
        <f>IF(B18=0,0,C18/B18)</f>
        <v/>
      </c>
    </row>
    <row r="19">
      <c r="A19" s="12" t="inlineStr">
        <is>
          <t>15 Диаграммы 25.07</t>
        </is>
      </c>
      <c r="B19" s="12" t="n">
        <v>4</v>
      </c>
      <c r="C19" s="12">
        <f>COUNTIF('15 Диаграммы 25.07'!$I$2:$I$5,"Passed")</f>
        <v/>
      </c>
      <c r="D19" s="12">
        <f>COUNTIF('15 Диаграммы 25.07'!$I$2:$I$5,"Failed")</f>
        <v/>
      </c>
      <c r="E19" s="12">
        <f>COUNTIF('15 Диаграммы 25.07'!$I$2:$I$5,"Blocked")</f>
        <v/>
      </c>
      <c r="F19" s="12">
        <f>COUNTIF('15 Диаграммы 25.07'!$I$2:$I$5,"Not Run")</f>
        <v/>
      </c>
      <c r="G19" s="13">
        <f>IF(B19=0,0,C19/B19)</f>
        <v/>
      </c>
    </row>
    <row r="20">
      <c r="A20" s="12" t="inlineStr">
        <is>
          <t>17 Экраны и настройки</t>
        </is>
      </c>
      <c r="B20" s="12" t="n">
        <v>16</v>
      </c>
      <c r="C20" s="12">
        <f>COUNTIF('17 Экраны и настройки'!$I$2:$I$17,"Passed")</f>
        <v/>
      </c>
      <c r="D20" s="12">
        <f>COUNTIF('17 Экраны и настройки'!$I$2:$I$17,"Failed")</f>
        <v/>
      </c>
      <c r="E20" s="12">
        <f>COUNTIF('17 Экраны и настройки'!$I$2:$I$17,"Blocked")</f>
        <v/>
      </c>
      <c r="F20" s="12">
        <f>COUNTIF('17 Экраны и настройки'!$I$2:$I$17,"Not Run")</f>
        <v/>
      </c>
      <c r="G20" s="13">
        <f>IF(B20=0,0,C20/B20)</f>
        <v/>
      </c>
    </row>
    <row r="21">
      <c r="A21" s="12" t="inlineStr">
        <is>
          <t>18 Релизная приемка</t>
        </is>
      </c>
      <c r="B21" s="12" t="n">
        <v>28</v>
      </c>
      <c r="C21" s="12">
        <f>COUNTIF('18 Релизная приемка'!$I$2:$I$29,"Passed")</f>
        <v/>
      </c>
      <c r="D21" s="12">
        <f>COUNTIF('18 Релизная приемка'!$I$2:$I$29,"Failed")</f>
        <v/>
      </c>
      <c r="E21" s="12">
        <f>COUNTIF('18 Релизная приемка'!$I$2:$I$29,"Blocked")</f>
        <v/>
      </c>
      <c r="F21" s="12">
        <f>COUNTIF('18 Релизная приемка'!$I$2:$I$29,"Not Run")</f>
        <v/>
      </c>
      <c r="G21" s="13">
        <f>IF(B21=0,0,C21/B21)</f>
        <v/>
      </c>
    </row>
    <row r="22">
      <c r="A22" s="14" t="inlineStr">
        <is>
          <t>ИТОГО (без отложенных)</t>
        </is>
      </c>
      <c r="B22" s="14">
        <f>SUM(B6:B21)</f>
        <v/>
      </c>
      <c r="C22" s="14">
        <f>SUM(C6:C21)</f>
        <v/>
      </c>
      <c r="D22" s="14">
        <f>SUM(D6:D21)</f>
        <v/>
      </c>
      <c r="E22" s="14">
        <f>SUM(E6:E21)</f>
        <v/>
      </c>
      <c r="F22" s="14">
        <f>SUM(F6:F21)</f>
        <v/>
      </c>
      <c r="G22" s="15">
        <f>IF(B22=0,0,C22/B22)</f>
        <v/>
      </c>
    </row>
    <row r="24">
      <c r="A24" s="16" t="inlineStr">
        <is>
          <t>Вне общей статистики (ждут релиза):</t>
        </is>
      </c>
    </row>
    <row r="25">
      <c r="A25" s="17" t="inlineStr">
        <is>
          <t>14 Отложенные до релиза</t>
        </is>
      </c>
      <c r="B25" s="17" t="n">
        <v>13</v>
      </c>
      <c r="C25" s="17">
        <f>COUNTIF('14 Отложенные до релиза'!$I$2:$I$14,"Passed")</f>
        <v/>
      </c>
      <c r="D25" s="17">
        <f>COUNTIF('14 Отложенные до релиза'!$I$2:$I$14,"Failed")</f>
        <v/>
      </c>
      <c r="E25" s="17">
        <f>COUNTIF('14 Отложенные до релиза'!$I$2:$I$14,"Blocked")</f>
        <v/>
      </c>
      <c r="F25" s="17">
        <f>COUNTIF('14 Отложенные до релиза'!$I$2:$I$14,"Not Run")</f>
        <v/>
      </c>
      <c r="G25" s="18" t="inlineStr">
        <is>
          <t>—</t>
        </is>
      </c>
    </row>
    <row r="26">
      <c r="A26" s="17" t="inlineStr">
        <is>
          <t>16 Отложенные 25.07</t>
        </is>
      </c>
      <c r="B26" s="17" t="n">
        <v>2</v>
      </c>
      <c r="C26" s="17">
        <f>COUNTIF('16 Отложенные 25.07'!$I$2:$I$3,"Passed")</f>
        <v/>
      </c>
      <c r="D26" s="17">
        <f>COUNTIF('16 Отложенные 25.07'!$I$2:$I$3,"Failed")</f>
        <v/>
      </c>
      <c r="E26" s="17">
        <f>COUNTIF('16 Отложенные 25.07'!$I$2:$I$3,"Blocked")</f>
        <v/>
      </c>
      <c r="F26" s="17">
        <f>COUNTIF('16 Отложенные 25.07'!$I$2:$I$3,"Not Run")</f>
        <v/>
      </c>
      <c r="G26" s="18" t="inlineStr">
        <is>
          <t>—</t>
        </is>
      </c>
    </row>
    <row r="29">
      <c r="A29" s="19" t="inlineStr">
        <is>
          <t>Сверка рисков R-1…R-10 → тест-кейсы</t>
        </is>
      </c>
    </row>
    <row r="30">
      <c r="A30" s="1" t="inlineStr">
        <is>
          <t>Риск</t>
        </is>
      </c>
      <c r="B30" s="1" t="inlineStr">
        <is>
          <t>Что проверяем</t>
        </is>
      </c>
      <c r="C30" s="12" t="n"/>
      <c r="D30" s="12" t="n"/>
      <c r="E30" s="1" t="inlineStr">
        <is>
          <t>Покрывающие кейсы</t>
        </is>
      </c>
      <c r="F30" s="12" t="n"/>
      <c r="G30" s="12" t="n"/>
    </row>
    <row r="31" ht="32" customHeight="1">
      <c r="A31" s="2" t="inlineStr">
        <is>
          <t>R-1</t>
        </is>
      </c>
      <c r="B31" s="2" t="inlineStr">
        <is>
          <t>Утечка данных между клиентами</t>
        </is>
      </c>
      <c r="C31" s="2" t="n"/>
      <c r="D31" s="2" t="n"/>
      <c r="E31" s="2" t="inlineStr">
        <is>
          <t>TC-032–TC-038, TC-199, TC-215, TC-292, TC-349, TC-365, TC-396, TC-399</t>
        </is>
      </c>
      <c r="F31" s="2" t="n"/>
      <c r="G31" s="2" t="n"/>
    </row>
    <row r="32" ht="32" customHeight="1">
      <c r="A32" s="2" t="inlineStr">
        <is>
          <t>R-2</t>
        </is>
      </c>
      <c r="B32" s="2" t="inlineStr">
        <is>
          <t>Дыры в правах доступа</t>
        </is>
      </c>
      <c r="C32" s="2" t="n"/>
      <c r="D32" s="2" t="n"/>
      <c r="E32" s="2" t="inlineStr">
        <is>
          <t>TC-021–TC-043, TC-208, TC-241, TC-327, TC-349, TC-399, TC-400</t>
        </is>
      </c>
      <c r="F32" s="2" t="n"/>
      <c r="G32" s="2" t="n"/>
    </row>
    <row r="33" ht="32" customHeight="1">
      <c r="A33" s="2" t="inlineStr">
        <is>
          <t>R-3</t>
        </is>
      </c>
      <c r="B33" s="2" t="inlineStr">
        <is>
          <t>Потеря данных при синхронизации с AmoCRM</t>
        </is>
      </c>
      <c r="C33" s="2" t="n"/>
      <c r="D33" s="2" t="n"/>
      <c r="E33" s="2" t="inlineStr">
        <is>
          <t>TC-181, TC-183–TC-197, TC-331, TC-352, TC-354, TC-385–TC-387</t>
        </is>
      </c>
      <c r="F33" s="2" t="n"/>
      <c r="G33" s="2" t="n"/>
    </row>
    <row r="34" ht="32" customHeight="1">
      <c r="A34" s="2" t="inlineStr">
        <is>
          <t>R-4</t>
        </is>
      </c>
      <c r="B34" s="2" t="inlineStr">
        <is>
          <t>Неверные данные от AI</t>
        </is>
      </c>
      <c r="C34" s="2" t="n"/>
      <c r="D34" s="2" t="n"/>
      <c r="E34" s="2" t="inlineStr">
        <is>
          <t>TC-152–TC-164</t>
        </is>
      </c>
      <c r="F34" s="2" t="n"/>
      <c r="G34" s="2" t="n"/>
    </row>
    <row r="35" ht="32" customHeight="1">
      <c r="A35" s="2" t="inlineStr">
        <is>
          <t>R-5</t>
        </is>
      </c>
      <c r="B35" s="2" t="inlineStr">
        <is>
          <t>Дефолтные учётные записи</t>
        </is>
      </c>
      <c r="C35" s="2" t="n"/>
      <c r="D35" s="2" t="n"/>
      <c r="E35" s="2" t="inlineStr">
        <is>
          <t>TC-008, TC-011, TC-337</t>
        </is>
      </c>
      <c r="F35" s="2" t="n"/>
      <c r="G35" s="2" t="n"/>
    </row>
    <row r="36" ht="32" customHeight="1">
      <c r="A36" s="2" t="inlineStr">
        <is>
          <t>R-6</t>
        </is>
      </c>
      <c r="B36" s="2" t="inlineStr">
        <is>
          <t>Молчаливая потеря звонков в AI-обработке</t>
        </is>
      </c>
      <c r="C36" s="2" t="n"/>
      <c r="D36" s="2" t="n"/>
      <c r="E36" s="2" t="inlineStr">
        <is>
          <t>TC-146–TC-151, TC-348, TC-388–TC-390</t>
        </is>
      </c>
      <c r="F36" s="2" t="n"/>
      <c r="G36" s="2" t="n"/>
    </row>
    <row r="37" ht="32" customHeight="1">
      <c r="A37" s="2" t="inlineStr">
        <is>
          <t>R-7</t>
        </is>
      </c>
      <c r="B37" s="2" t="inlineStr">
        <is>
          <t>Двойной обзвон одного лида</t>
        </is>
      </c>
      <c r="C37" s="2" t="n"/>
      <c r="D37" s="2" t="n"/>
      <c r="E37" s="2" t="inlineStr">
        <is>
          <t>TC-100–TC-104, TC-123, TC-139, TC-381, TC-384, TC-392, TC-395</t>
        </is>
      </c>
      <c r="F37" s="2" t="n"/>
      <c r="G37" s="2" t="n"/>
    </row>
    <row r="38" ht="32" customHeight="1">
      <c r="A38" s="2" t="inlineStr">
        <is>
          <t>R-8</t>
        </is>
      </c>
      <c r="B38" s="2" t="inlineStr">
        <is>
          <t>Автосинхронизация без подтверждения</t>
        </is>
      </c>
      <c r="C38" s="2" t="n"/>
      <c r="D38" s="2" t="n"/>
      <c r="E38" s="2" t="inlineStr">
        <is>
          <t>TC-131, TC-133–TC-135, TC-141</t>
        </is>
      </c>
      <c r="F38" s="2" t="n"/>
      <c r="G38" s="2" t="n"/>
    </row>
    <row r="39" ht="32" customHeight="1">
      <c r="A39" s="2" t="inlineStr">
        <is>
          <t>R-9</t>
        </is>
      </c>
      <c r="B39" s="2" t="inlineStr">
        <is>
          <t>Неверный жизненный счётчик попыток</t>
        </is>
      </c>
      <c r="C39" s="2" t="n"/>
      <c r="D39" s="2" t="n"/>
      <c r="E39" s="2" t="inlineStr">
        <is>
          <t>TC-084–TC-089, TC-334, TC-352</t>
        </is>
      </c>
      <c r="F39" s="2" t="n"/>
      <c r="G39" s="2" t="n"/>
    </row>
    <row r="40" ht="32" customHeight="1">
      <c r="A40" s="2" t="inlineStr">
        <is>
          <t>R-10</t>
        </is>
      </c>
      <c r="B40" s="2" t="inlineStr">
        <is>
          <t>Тестовый фронт обращается к production</t>
        </is>
      </c>
      <c r="C40" s="2" t="n"/>
      <c r="D40" s="2" t="n"/>
      <c r="E40" s="2" t="inlineStr">
        <is>
          <t>TC-335, TC-336, TC-375</t>
        </is>
      </c>
      <c r="F40" s="2" t="n"/>
      <c r="G40" s="2" t="n"/>
    </row>
    <row r="42">
      <c r="A42" s="19" t="inlineStr">
        <is>
          <t>Критерий допуска клиентов (Release Gate)</t>
        </is>
      </c>
    </row>
    <row r="43" ht="34" customHeight="1">
      <c r="A43" s="2" t="inlineStr">
        <is>
          <t>1</t>
        </is>
      </c>
      <c r="B43" s="2" t="inlineStr">
        <is>
          <t>Все активные кейсы выполнены</t>
        </is>
      </c>
      <c r="C43" s="2" t="n"/>
      <c r="D43" s="2" t="n"/>
      <c r="E43" s="2" t="inlineStr">
        <is>
          <t>В общей статистике Not Run = 0 и Blocked = 0</t>
        </is>
      </c>
      <c r="F43" s="2" t="n"/>
      <c r="G43" s="2" t="n"/>
    </row>
    <row r="44" ht="34" customHeight="1">
      <c r="A44" s="2" t="inlineStr">
        <is>
          <t>2</t>
        </is>
      </c>
      <c r="B44" s="2" t="inlineStr">
        <is>
          <t>Критичные и высокие проверки успешны</t>
        </is>
      </c>
      <c r="C44" s="2" t="n"/>
      <c r="D44" s="2" t="n"/>
      <c r="E44" s="2" t="inlineStr">
        <is>
          <t>Все active Critical/High = Passed; Failed = 0</t>
        </is>
      </c>
      <c r="F44" s="2" t="n"/>
      <c r="G44" s="2" t="n"/>
    </row>
    <row r="45" ht="34" customHeight="1">
      <c r="A45" s="2" t="inlineStr">
        <is>
          <t>3</t>
        </is>
      </c>
      <c r="B45" s="2" t="inlineStr">
        <is>
          <t>Нет релизных дефектов</t>
        </is>
      </c>
      <c r="C45" s="2" t="n"/>
      <c r="D45" s="2" t="n"/>
      <c r="E45" s="2" t="inlineStr">
        <is>
          <t>Нет открытых P0/P1; P2 имеет письменное решение владельца продукта</t>
        </is>
      </c>
      <c r="F45" s="2" t="n"/>
      <c r="G45" s="2" t="n"/>
    </row>
    <row r="46" ht="34" customHeight="1">
      <c r="A46" s="2" t="inlineStr">
        <is>
          <t>4</t>
        </is>
      </c>
      <c r="B46" s="2" t="inlineStr">
        <is>
          <t>Пройдены клиентские сквозные пути</t>
        </is>
      </c>
      <c r="C46" s="2" t="n"/>
      <c r="D46" s="2" t="n"/>
      <c r="E46" s="2" t="inlineStr">
        <is>
          <t>TC-396, TC-397 и TC-398 = Passed</t>
        </is>
      </c>
      <c r="F46" s="2" t="n"/>
      <c r="G46" s="2" t="n"/>
    </row>
    <row r="47" ht="34" customHeight="1">
      <c r="A47" s="2" t="inlineStr">
        <is>
          <t>5</t>
        </is>
      </c>
      <c r="B47" s="2" t="inlineStr">
        <is>
          <t>Пройдена эксплуатационная приёмка</t>
        </is>
      </c>
      <c r="C47" s="2" t="n"/>
      <c r="D47" s="2" t="n"/>
      <c r="E47" s="2" t="inlineStr">
        <is>
          <t>TC-373–TC-375, TC-380–TC-384 и TC-399–TC-400 = Passed</t>
        </is>
      </c>
      <c r="F47" s="2" t="n"/>
      <c r="G47" s="2" t="n"/>
    </row>
    <row r="48" ht="34" customHeight="1">
      <c r="A48" s="2" t="inlineStr">
        <is>
          <t>6</t>
        </is>
      </c>
      <c r="B48" s="2" t="inlineStr">
        <is>
          <t>Закрыты расхождения диаграмм</t>
        </is>
      </c>
      <c r="C48" s="2" t="n"/>
      <c r="D48" s="2" t="n"/>
      <c r="E48" s="2" t="inlineStr">
        <is>
          <t>TC-351, TC-352, TC-354 = Passed</t>
        </is>
      </c>
      <c r="F48" s="2" t="n"/>
      <c r="G48" s="2" t="n"/>
    </row>
    <row r="49" ht="34" customHeight="1">
      <c r="A49" s="2" t="inlineStr">
        <is>
          <t>7</t>
        </is>
      </c>
      <c r="B49" s="2" t="inlineStr">
        <is>
          <t>Будущие функции не выданы как готовые</t>
        </is>
      </c>
      <c r="C49" s="2" t="n"/>
      <c r="D49" s="2" t="n"/>
      <c r="E49" s="2" t="inlineStr">
        <is>
          <t>Отложенные кейсы исключены из релиза или функция отдельно принята</t>
        </is>
      </c>
      <c r="F49" s="2" t="n"/>
      <c r="G49" s="2" t="n"/>
    </row>
    <row r="51" ht="40" customHeight="1">
      <c r="A51" s="10" t="inlineStr">
        <is>
          <t>Важно: прохождение набора не доказывает абсолютное отсутствие дефектов. Оно подтверждает, что все известные требования, критические риски и клиентские сценарии проверены на указанной версии и окружении с зафиксированными доказательствами.</t>
        </is>
      </c>
    </row>
  </sheetData>
  <mergeCells count="41">
    <mergeCell ref="E31:G31"/>
    <mergeCell ref="E34:G34"/>
    <mergeCell ref="E40:G40"/>
    <mergeCell ref="A29:G29"/>
    <mergeCell ref="A42:G42"/>
    <mergeCell ref="E30:G30"/>
    <mergeCell ref="B44:D44"/>
    <mergeCell ref="B38:D38"/>
    <mergeCell ref="B34:D34"/>
    <mergeCell ref="E46:G46"/>
    <mergeCell ref="B37:D37"/>
    <mergeCell ref="E36:G36"/>
    <mergeCell ref="E49:G49"/>
    <mergeCell ref="E45:G45"/>
    <mergeCell ref="B49:D49"/>
    <mergeCell ref="B40:D40"/>
    <mergeCell ref="B30:D30"/>
    <mergeCell ref="A51:G51"/>
    <mergeCell ref="B33:D33"/>
    <mergeCell ref="E32:G32"/>
    <mergeCell ref="B36:D36"/>
    <mergeCell ref="E44:G44"/>
    <mergeCell ref="B45:D45"/>
    <mergeCell ref="E37:G37"/>
    <mergeCell ref="B32:D32"/>
    <mergeCell ref="B35:D35"/>
    <mergeCell ref="E47:G47"/>
    <mergeCell ref="E43:G43"/>
    <mergeCell ref="B47:D47"/>
    <mergeCell ref="E33:G33"/>
    <mergeCell ref="B31:D31"/>
    <mergeCell ref="B46:D46"/>
    <mergeCell ref="A3:G3"/>
    <mergeCell ref="E39:G39"/>
    <mergeCell ref="E48:G48"/>
    <mergeCell ref="A2:G2"/>
    <mergeCell ref="E35:G35"/>
    <mergeCell ref="B43:D43"/>
    <mergeCell ref="B39:D39"/>
    <mergeCell ref="B48:D48"/>
    <mergeCell ref="E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TC-001</t>
        </is>
      </c>
      <c r="B2" s="2" t="inlineStr">
        <is>
          <t>Web — Авторизация и сессии</t>
        </is>
      </c>
      <c r="C2" s="2" t="inlineStr">
        <is>
          <t>/auth/jwt/sign-in · /dashboard/rop</t>
        </is>
      </c>
      <c r="D2" s="2" t="inlineStr">
        <is>
          <t>Вход супер-админа с верными логином и паролем
Проверяем, что сотрудник компании-владельца (супер-админ) может войти в систему и попадает на свой стартовый экран — список РОПов. Вход — «ворота» во всю систему, поэтому кейс критичный.</t>
        </is>
      </c>
      <c r="E2" s="2" t="inlineStr">
        <is>
          <t>Есть учётная запись супер-админа (логин и пароль — в .env, в кейсе не указываются).
Открыт браузер, никто не залогинен.</t>
        </is>
      </c>
      <c r="F2" s="2" t="inlineStr">
        <is>
          <t>1. Открой страницу входа (адрес стенда + /auth/jwt/sign-in).
2. В поле «Логин» (uz: Login) введи логин супер-админа.
3. В поле «Пароль» (uz: Parol) введи его пароль.
4. Нажми кнопку «Войти» (uz: Kirish).</t>
        </is>
      </c>
      <c r="G2" s="2" t="inlineStr">
        <is>
          <t>Вход выполнен. Открывается раздел «РОПы» (адрес /dashboard/rop) — таблица компаний РОП. В меню слева видны разделы «РОПы», «Лиды», «Тарифы».</t>
        </is>
      </c>
      <c r="H2" s="20" t="inlineStr">
        <is>
          <t>Critical</t>
        </is>
      </c>
      <c r="I2" s="3" t="inlineStr">
        <is>
          <t>Not Run</t>
        </is>
      </c>
      <c r="J2" s="2" t="inlineStr">
        <is>
          <t>web|positive</t>
        </is>
      </c>
    </row>
    <row r="3" ht="70" customHeight="1">
      <c r="A3" s="3" t="inlineStr">
        <is>
          <t>TC-002</t>
        </is>
      </c>
      <c r="B3" s="2" t="inlineStr">
        <is>
          <t>Web — Авторизация и сессии</t>
        </is>
      </c>
      <c r="C3" s="2" t="inlineStr">
        <is>
          <t>/dashboard/dynamic-form</t>
        </is>
      </c>
      <c r="D3" s="2" t="inlineStr">
        <is>
          <t>Вход РОП с верными логином и паролем
Проверяем вход руководителя отдела продаж (РОП) и что система приводит его на его стартовый экран — «Правила».</t>
        </is>
      </c>
      <c r="E3" s="2" t="inlineStr">
        <is>
          <t>Есть учётная запись РОП.
Никто не залогинен.</t>
        </is>
      </c>
      <c r="F3" s="2" t="inlineStr">
        <is>
          <t>1. Открой страницу входа.
2. Введи логин и пароль РОП.
3. Нажми «Войти» (uz: Kirish).</t>
        </is>
      </c>
      <c r="G3" s="2" t="inlineStr">
        <is>
          <t>Вход выполнен. Открывается раздел «Правила» (адрес /dashboard/dynamic-form). В меню слева: «Правила», «Операторы», «Настройка очереди», «Критерии», «Посещаемость».</t>
        </is>
      </c>
      <c r="H3" s="20" t="inlineStr">
        <is>
          <t>Critical</t>
        </is>
      </c>
      <c r="I3" s="3" t="inlineStr">
        <is>
          <t>Not Run</t>
        </is>
      </c>
      <c r="J3" s="2" t="inlineStr">
        <is>
          <t>web|positive</t>
        </is>
      </c>
    </row>
    <row r="4" ht="96.39999999999999" customHeight="1">
      <c r="A4" s="3" t="inlineStr">
        <is>
          <t>TC-003</t>
        </is>
      </c>
      <c r="B4" s="2" t="inlineStr">
        <is>
          <t>Web — Авторизация и сессии</t>
        </is>
      </c>
      <c r="C4" s="2" t="inlineStr">
        <is>
          <t>/dashboard/home</t>
        </is>
      </c>
      <c r="D4" s="2" t="inlineStr">
        <is>
          <t>Вход оператора с верными логином и паролем
Проверяем вход оператора и его стартовый экран. Уточнено по факту 28.07.2026: корректный стартовый экран оператора — «Рабочий стол» (/dashboard/home).</t>
        </is>
      </c>
      <c r="E4" s="2" t="inlineStr">
        <is>
          <t>Есть учётная запись оператора.
Никто не залогинен.</t>
        </is>
      </c>
      <c r="F4" s="2" t="inlineStr">
        <is>
          <t>1. Открой страницу входа.
2. Введи логин и пароль оператора.
3. Нажми «Войти» (uz: Kirish).</t>
        </is>
      </c>
      <c r="G4" s="2" t="inlineStr">
        <is>
          <t>Вход выполнен. Открывается раздел «Рабочий стол» (адрес /dashboard/home): видны блок «Последние звонки» и кнопка «Начать звонок». В меню слева: «Рабочий стол», «Режим звонков», «Звонки», «Рабочее время».</t>
        </is>
      </c>
      <c r="H4" s="20" t="inlineStr">
        <is>
          <t>Critical</t>
        </is>
      </c>
      <c r="I4" s="3" t="inlineStr">
        <is>
          <t>Not Run</t>
        </is>
      </c>
      <c r="J4" s="2" t="inlineStr">
        <is>
          <t>web|positive</t>
        </is>
      </c>
    </row>
    <row r="5" ht="83.19999999999999" customHeight="1">
      <c r="A5" s="3" t="inlineStr">
        <is>
          <t>TC-004</t>
        </is>
      </c>
      <c r="B5" s="2" t="inlineStr">
        <is>
          <t>Web — Авторизация и сессии</t>
        </is>
      </c>
      <c r="C5" s="2" t="inlineStr">
        <is>
          <t>Страница входа / Сессия</t>
        </is>
      </c>
      <c r="D5" s="2" t="inlineStr">
        <is>
          <t>Вход с неверным паролем не пускает в систему
Проверяем, что с неправильным паролем войти нельзя и человеку показывается понятное сообщение об ошибке.</t>
        </is>
      </c>
      <c r="E5" s="2" t="inlineStr">
        <is>
          <t>Есть любая действующая учётная запись.
Никто не залогинен.</t>
        </is>
      </c>
      <c r="F5" s="2" t="inlineStr">
        <is>
          <t>1. Открой страницу входа.
2. Введи существующий логин.
3. Введи заведомо неверный пароль (например, правильный + лишняя буква).
4. Нажми «Войти».</t>
        </is>
      </c>
      <c r="G5" s="2" t="inlineStr">
        <is>
          <t>Вход НЕ выполнен. Над формой появляется красная плашка с сообщением об ошибке. Пользователь остаётся на странице входа. Пароль в поле не раскрывается.</t>
        </is>
      </c>
      <c r="H5" s="20" t="inlineStr">
        <is>
          <t>Critical</t>
        </is>
      </c>
      <c r="I5" s="3" t="inlineStr">
        <is>
          <t>Not Run</t>
        </is>
      </c>
      <c r="J5" s="2" t="inlineStr">
        <is>
          <t>web|negative</t>
        </is>
      </c>
    </row>
    <row r="6" ht="83.19999999999999" customHeight="1">
      <c r="A6" s="3" t="inlineStr">
        <is>
          <t>TC-005</t>
        </is>
      </c>
      <c r="B6" s="2" t="inlineStr">
        <is>
          <t>Web — Авторизация и сессии</t>
        </is>
      </c>
      <c r="C6" s="2" t="inlineStr">
        <is>
          <t>Страница входа / Сессия</t>
        </is>
      </c>
      <c r="D6" s="2" t="inlineStr">
        <is>
          <t>Вход с несуществующим логином
Проверяем реакцию на логин, которого нет в системе. Сообщение не должно подсказывать злоумышленнику, что именно неверно — логин или пароль.</t>
        </is>
      </c>
      <c r="E6" s="2" t="inlineStr">
        <is>
          <t>Никто не залогинен.</t>
        </is>
      </c>
      <c r="F6" s="2" t="inlineStr">
        <is>
          <t>1. Открой страницу входа.
2. Введи выдуманный логин, например «net-takogo-usera-123».
3. Введи любой пароль от 6 символов.
4. Нажми «Войти».</t>
        </is>
      </c>
      <c r="G6" s="2" t="inlineStr">
        <is>
          <t>Вход НЕ выполнен, показано сообщение об ошибке. Формулировка ошибки одинаковая для случаев «нет такого логина» и «неверный пароль» (не выдаёт, какие логины существуют).</t>
        </is>
      </c>
      <c r="H6" s="21" t="inlineStr">
        <is>
          <t>High</t>
        </is>
      </c>
      <c r="I6" s="3" t="inlineStr">
        <is>
          <t>Not Run</t>
        </is>
      </c>
      <c r="J6" s="2" t="inlineStr">
        <is>
          <t>web|negative</t>
        </is>
      </c>
    </row>
    <row r="7" ht="83.19999999999999" customHeight="1">
      <c r="A7" s="3" t="inlineStr">
        <is>
          <t>TC-006</t>
        </is>
      </c>
      <c r="B7" s="2" t="inlineStr">
        <is>
          <t>Web — Авторизация и сессии</t>
        </is>
      </c>
      <c r="C7" s="2" t="inlineStr">
        <is>
          <t>Страница входа / Сессия</t>
        </is>
      </c>
      <c r="D7" s="2" t="inlineStr">
        <is>
          <t>Пустые поля — форма подсказывает, что заполнить
Проверяем подсказки формы при попытке войти, ничего не заполнив. Запрос на сервер при этом уходить не должен.</t>
        </is>
      </c>
      <c r="E7" s="2" t="inlineStr">
        <is>
          <t>Никто не залогинен.</t>
        </is>
      </c>
      <c r="F7" s="2" t="inlineStr">
        <is>
          <t>1. Открой страницу входа.
2. Ничего не вводи в поля.
3. Нажми «Войти».</t>
        </is>
      </c>
      <c r="G7" s="2" t="inlineStr">
        <is>
          <t>Под полями появляются подсказки: «Введите логин!» (uz: Loginni kiriting!) и «Введите пароль!» (uz: Parolni kiriting!). Вход не выполняется.</t>
        </is>
      </c>
      <c r="H7" s="22" t="inlineStr">
        <is>
          <t>Medium</t>
        </is>
      </c>
      <c r="I7" s="3" t="inlineStr">
        <is>
          <t>Not Run</t>
        </is>
      </c>
      <c r="J7" s="2" t="inlineStr">
        <is>
          <t>web|negative</t>
        </is>
      </c>
    </row>
    <row r="8" ht="109.6" customHeight="1">
      <c r="A8" s="3" t="inlineStr">
        <is>
          <t>TC-007</t>
        </is>
      </c>
      <c r="B8" s="2" t="inlineStr">
        <is>
          <t>Web — Авторизация и сессии</t>
        </is>
      </c>
      <c r="C8" s="2" t="inlineStr">
        <is>
          <t>Страница входа / Сессия</t>
        </is>
      </c>
      <c r="D8" s="2" t="inlineStr">
        <is>
          <t>Пароль короче 6 символов не отправляется
Граничная проверка минимальной длины пароля на форме входа: 5 символов — ошибка, 6 символов — форма отправляет запрос (сервер уже сам решает, верный ли пароль).</t>
        </is>
      </c>
      <c r="E8" s="2" t="inlineStr">
        <is>
          <t>Никто не залогинен.</t>
        </is>
      </c>
      <c r="F8" s="2" t="inlineStr">
        <is>
          <t>1. Открой страницу входа.
2. Введи любой логин.
3. Введи пароль из 5 символов (например, «12345»). Нажми «Войти».
4. Теперь введи пароль из 6 символов (например, «123456»). Нажми «Войти».</t>
        </is>
      </c>
      <c r="G8" s="2" t="inlineStr">
        <is>
          <t>Шаг 3: под полем подсказка «Пароль должен содержать не менее 6 символов!», запрос на сервер не уходит. Шаг 4: подсказки нет, форма отправляется (дальше — обычная ошибка «неверный пароль», это нормально).</t>
        </is>
      </c>
      <c r="H8" s="22" t="inlineStr">
        <is>
          <t>Medium</t>
        </is>
      </c>
      <c r="I8" s="3" t="inlineStr">
        <is>
          <t>Not Run</t>
        </is>
      </c>
      <c r="J8" s="2" t="inlineStr">
        <is>
          <t>web|boundary</t>
        </is>
      </c>
    </row>
    <row r="9" ht="122.8" customHeight="1">
      <c r="A9" s="3" t="inlineStr">
        <is>
          <t>TC-008</t>
        </is>
      </c>
      <c r="B9" s="2" t="inlineStr">
        <is>
          <t>Web — Авторизация и сессии</t>
        </is>
      </c>
      <c r="C9" s="2" t="inlineStr">
        <is>
          <t>Страница входа / Сессия</t>
        </is>
      </c>
      <c r="D9" s="2" t="inlineStr">
        <is>
          <t>Поля входа не предзаполнены логином и паролем
Проверка безопасности (риск R-5, дефект Р-17). Раньше в форме входа были захардкожены учётные данные супер-админа — любой мог войти в один клик. По коду от 25.07 это исправлено. Подтверждаем на стенде.</t>
        </is>
      </c>
      <c r="E9" s="2" t="inlineStr">
        <is>
          <t>Никто не залогинен. Открой новое приватное окно браузера (Ctrl+Shift+N), чтобы исключить автозаполнение самим браузером.</t>
        </is>
      </c>
      <c r="F9" s="2" t="inlineStr">
        <is>
          <t>1. Открой страницу входа в приватном окне.
2. Посмотри на поля «Логин» и «Пароль», ничего не вводя.</t>
        </is>
      </c>
      <c r="G9" s="2" t="inlineStr">
        <is>
          <t>Оба поля ПУСТЫЕ. Внутри — только серые подсказки-плейсхолдеры «логин» и «6+ символов». Никаких заранее подставленных логина и пароля нет.</t>
        </is>
      </c>
      <c r="H9" s="21" t="inlineStr">
        <is>
          <t>High</t>
        </is>
      </c>
      <c r="I9" s="3" t="inlineStr">
        <is>
          <t>Not Run</t>
        </is>
      </c>
      <c r="J9" s="2" t="inlineStr">
        <is>
          <t>web|negative</t>
        </is>
      </c>
    </row>
    <row r="10" ht="83.19999999999999" customHeight="1">
      <c r="A10" s="3" t="inlineStr">
        <is>
          <t>TC-009</t>
        </is>
      </c>
      <c r="B10" s="2" t="inlineStr">
        <is>
          <t>Web — Авторизация и сессии</t>
        </is>
      </c>
      <c r="C10" s="2" t="inlineStr">
        <is>
          <t>Страница входа / Сессия</t>
        </is>
      </c>
      <c r="D10" s="2" t="inlineStr">
        <is>
          <t>Кнопка-глазок показывает и скрывает пароль
Удобство: оператор должен иметь возможность проверить, что набрал, прежде чем нажать «Войти».</t>
        </is>
      </c>
      <c r="E10" s="2" t="inlineStr">
        <is>
          <t>Никто не залогинен.</t>
        </is>
      </c>
      <c r="F10" s="2" t="inlineStr">
        <is>
          <t>1. Открой страницу входа.
2. Введи в поле «Пароль» любой текст.
3. Нажми значок глаза в правом краю поля.
4. Нажми значок ещё раз.</t>
        </is>
      </c>
      <c r="G10" s="2" t="inlineStr">
        <is>
          <t>После первого нажатия пароль виден обычным текстом, после второго — снова скрыт точками.</t>
        </is>
      </c>
      <c r="H10" s="23" t="inlineStr">
        <is>
          <t>Low</t>
        </is>
      </c>
      <c r="I10" s="3" t="inlineStr">
        <is>
          <t>Not Run</t>
        </is>
      </c>
      <c r="J10" s="2" t="inlineStr">
        <is>
          <t>web|positive</t>
        </is>
      </c>
    </row>
    <row r="11" ht="96.39999999999999" customHeight="1">
      <c r="A11" s="3" t="inlineStr">
        <is>
          <t>TC-010</t>
        </is>
      </c>
      <c r="B11" s="2" t="inlineStr">
        <is>
          <t>Web — Авторизация и сессии</t>
        </is>
      </c>
      <c r="C11" s="2" t="inlineStr">
        <is>
          <t>Страница входа / Сессия</t>
        </is>
      </c>
      <c r="D11" s="2" t="inlineStr">
        <is>
          <t>Выход из системы
Проверяем, что «Выйти» действительно завершает сессию: вернуться в кабинет кнопкой «Назад» браузера нельзя.</t>
        </is>
      </c>
      <c r="E11" s="2" t="inlineStr">
        <is>
          <t>Выполнен вход под любой ролью.</t>
        </is>
      </c>
      <c r="F11" s="2" t="inlineStr">
        <is>
          <t>1. Нажми на свой аватар/имя в правом верхнем углу.
2. В открывшемся меню нажми «Выйти» (uz: Chiqish).
3. После возврата на страницу входа нажми кнопку «Назад» в браузере.
4. Обнови страницу (F5).</t>
        </is>
      </c>
      <c r="G11" s="2" t="inlineStr">
        <is>
          <t>После шага 2 открывается страница входа. Шаги 3–4: в кабинет вернуться нельзя — снова показывается страница входа, данные разделов не отображаются.</t>
        </is>
      </c>
      <c r="H11" s="21" t="inlineStr">
        <is>
          <t>High</t>
        </is>
      </c>
      <c r="I11" s="3" t="inlineStr">
        <is>
          <t>Not Run</t>
        </is>
      </c>
      <c r="J11" s="2" t="inlineStr">
        <is>
          <t>web|positive</t>
        </is>
      </c>
    </row>
    <row r="12" ht="109.6" customHeight="1">
      <c r="A12" s="3" t="inlineStr">
        <is>
          <t>TC-011</t>
        </is>
      </c>
      <c r="B12" s="2" t="inlineStr">
        <is>
          <t>Web — Авторизация и сессии</t>
        </is>
      </c>
      <c r="C12" s="2" t="inlineStr">
        <is>
          <t>Страница входа / Сессия</t>
        </is>
      </c>
      <c r="D12" s="2" t="inlineStr">
        <is>
          <t>Защита от перебора: много неверных попыток подряд
На вход стоит ограничение частоты запросов (по умолчанию 5 попыток в минуту с одного адреса). Проверяем, что после лишних попыток система временно блокирует вход, а через минуту снова пускает.</t>
        </is>
      </c>
      <c r="E12" s="2" t="inlineStr">
        <is>
          <t>Есть действующая учётная запись. Никто не залогинен.</t>
        </is>
      </c>
      <c r="F12" s="2" t="inlineStr">
        <is>
          <t>1. Открой страницу входа.
2. Введи существующий логин и неверный пароль. Нажми «Войти».
3. Повтори то же самое ещё 5 раз подряд, не делая пауз (всего 6 попыток).
4. Подожди чуть больше минуты и попробуй войти с ВЕРНЫМ паролем.</t>
        </is>
      </c>
      <c r="G12" s="2" t="inlineStr">
        <is>
          <t>На 6-й попытке появляется ошибка об ограничении (слишком много запросов) — даже если бы пароль был верным. После паузы в минуту вход с верным паролем работает.</t>
        </is>
      </c>
      <c r="H12" s="22" t="inlineStr">
        <is>
          <t>Medium</t>
        </is>
      </c>
      <c r="I12" s="3" t="inlineStr">
        <is>
          <t>Not Run</t>
        </is>
      </c>
      <c r="J12" s="2" t="inlineStr">
        <is>
          <t>web|negative</t>
        </is>
      </c>
    </row>
    <row r="13" ht="136" customHeight="1">
      <c r="A13" s="3" t="inlineStr">
        <is>
          <t>TC-012</t>
        </is>
      </c>
      <c r="B13" s="2" t="inlineStr">
        <is>
          <t>Web — Авторизация и сессии</t>
        </is>
      </c>
      <c r="C13" s="2" t="inlineStr">
        <is>
          <t>Страница входа / Сессия</t>
        </is>
      </c>
      <c r="D13" s="2" t="inlineStr">
        <is>
          <t>Деактивированный пользователь не может войти
РОП отключает оператора (уволился) — вход для него должен закрыться, но его данные (звонки, история) должны остаться в системе.</t>
        </is>
      </c>
      <c r="E13" s="2" t="inlineStr">
        <is>
          <t>Вход под РОП. У РОП есть оператор, под которым можно безопасно экспериментировать (тестовый).</t>
        </is>
      </c>
      <c r="F13" s="2" t="inlineStr">
        <is>
          <t>1. Открой раздел «Операторы».
2. Найди строку тестового оператора, открой меню действий (⋮).
3. Нажми «Деактивировать» (uz: Deaktivatsiya).
4. Убедись, что появилось уведомление «Деактивировано» и статус в таблице сменился на «Неактивен».
5. Выйди из аккаунта РОП. Попробуй войти под этим оператором с его верным паролем.
6. Вернись под РОП и проверь, что история звонков оператора по-прежнему видна.</t>
        </is>
      </c>
      <c r="G13" s="2" t="inlineStr">
        <is>
          <t>Шаг 5: вход НЕ выполняется, показано сообщение об ошибке. Шаг 6: данные оператора не пропали. После теста верни оператора кнопкой «Активировать».</t>
        </is>
      </c>
      <c r="H13" s="20" t="inlineStr">
        <is>
          <t>Critical</t>
        </is>
      </c>
      <c r="I13" s="3" t="inlineStr">
        <is>
          <t>Not Run</t>
        </is>
      </c>
      <c r="J13" s="2" t="inlineStr">
        <is>
          <t>web|negative</t>
        </is>
      </c>
    </row>
    <row r="14" ht="136" customHeight="1">
      <c r="A14" s="3" t="inlineStr">
        <is>
          <t>TC-013</t>
        </is>
      </c>
      <c r="B14" s="2" t="inlineStr">
        <is>
          <t>Web — Авторизация и сессии</t>
        </is>
      </c>
      <c r="C14" s="2" t="inlineStr">
        <is>
          <t>Страница входа / Сессия</t>
        </is>
      </c>
      <c r="D14" s="2" t="inlineStr">
        <is>
          <t>Деактивация обрывает уже открытую сессию
Связано с багом BUG-006: если оператора деактивировали, пока он работал, его открытая вкладка не должна продолжать работать бесконечно. Продление сессии деактивированному запрещено, поэтому доступ должен прекратиться не позже, чем истечёт краткосрочный токен (~15 минут).</t>
        </is>
      </c>
      <c r="E14" s="2" t="inlineStr">
        <is>
          <t>Два браузера (или обычное + приватное окно): в одном залогинен тестовый оператор, в другом — его РОП.</t>
        </is>
      </c>
      <c r="F14" s="2" t="inlineStr">
        <is>
          <t>1. В браузере №1 оператор работает (открыт раздел «Звонки»).
2. В браузере №2 РОП деактивирует этого оператора («Операторы» → меню действий → «Деактивировать»).
3. В браузере №1 продолжай пользоваться разделами и наблюдай до 20 минут.</t>
        </is>
      </c>
      <c r="G14" s="2" t="inlineStr">
        <is>
          <t>Не позже чем через ~15–20 минут оператора выбрасывает на страницу входа (продление сессии отклонено). Если сессия живёт дольше и работает как ни в чём не бывало — это воспроизведение BUG-006, отметь в фактическом результате.</t>
        </is>
      </c>
      <c r="H14" s="21" t="inlineStr">
        <is>
          <t>High</t>
        </is>
      </c>
      <c r="I14" s="3" t="inlineStr">
        <is>
          <t>Not Run</t>
        </is>
      </c>
      <c r="J14" s="2" t="inlineStr">
        <is>
          <t>web|negative</t>
        </is>
      </c>
    </row>
    <row r="15" ht="162.4" customHeight="1">
      <c r="A15" s="3" t="inlineStr">
        <is>
          <t>TC-014</t>
        </is>
      </c>
      <c r="B15" s="2" t="inlineStr">
        <is>
          <t>Web — Авторизация и сессии</t>
        </is>
      </c>
      <c r="C15" s="2" t="inlineStr">
        <is>
          <t>Страница входа / Сессия</t>
        </is>
      </c>
      <c r="D15" s="2" t="inlineStr">
        <is>
          <t>Смена своего пароля через меню аккаунта
Оператор и РОП могут сменить свой пароль сами. Проверяем полный круг: смена → выход → старый пароль не работает → новый работает. Внимание: этот диалог в интерфейсе пока только на узбекском (не переведён).</t>
        </is>
      </c>
      <c r="E15" s="2" t="inlineStr">
        <is>
          <t>Вход под тестовым оператором (или РОП). Текущий пароль известен.</t>
        </is>
      </c>
      <c r="F15" s="2" t="inlineStr">
        <is>
          <t>1. Нажми на аватар в правом верхнем углу и выбери «Сменить пароль» (uz: Parolni o'zgartirish).
2. В поле «Eski parol» (старый пароль) введи текущий пароль.
3. В поле «Yangi parol» (новый пароль) введи новый пароль от 8 символов.
4. В поле «Yangi parolni takrorlang» (повтори новый пароль) введи его же.
5. Нажми «Saqlash» (Сохранить).
6. Выйди из системы и попробуй войти со СТАРЫМ паролем.
7. Затем войди с НОВЫМ паролем.</t>
        </is>
      </c>
      <c r="G15" s="2" t="inlineStr">
        <is>
          <t>Шаг 5: появляется уведомление «Parol yangilandi» (пароль обновлён), диалог закрывается. Шаг 6: вход со старым паролем НЕ работает. Шаг 7: вход с новым паролем работает. После теста верни исходный пароль.</t>
        </is>
      </c>
      <c r="H15" s="21" t="inlineStr">
        <is>
          <t>High</t>
        </is>
      </c>
      <c r="I15" s="3" t="inlineStr">
        <is>
          <t>Not Run</t>
        </is>
      </c>
      <c r="J15" s="2" t="inlineStr">
        <is>
          <t>web|positive</t>
        </is>
      </c>
    </row>
    <row r="16" ht="83.19999999999999" customHeight="1">
      <c r="A16" s="3" t="inlineStr">
        <is>
          <t>TC-015</t>
        </is>
      </c>
      <c r="B16" s="2" t="inlineStr">
        <is>
          <t>Web — Авторизация и сессии</t>
        </is>
      </c>
      <c r="C16" s="2" t="inlineStr">
        <is>
          <t>Страница входа / Сессия</t>
        </is>
      </c>
      <c r="D16" s="2" t="inlineStr">
        <is>
          <t>Смена пароля с неверным старым паролем
Старый пароль проверяется на сервере — без него сменить пароль нельзя (защита, если кто-то сел за чужой открытый компьютер).</t>
        </is>
      </c>
      <c r="E16" s="2" t="inlineStr">
        <is>
          <t>Вход под тестовым оператором.</t>
        </is>
      </c>
      <c r="F16" s="2" t="inlineStr">
        <is>
          <t>1. Открой диалог «Сменить пароль».
2. В поле старого пароля введи ЗАВЕДОМО НЕВЕРНЫЙ пароль (8+ символов).
3. Заполни новый пароль и его повтор одинаковыми значениями (8+ символов).
4. Нажми «Saqlash».</t>
        </is>
      </c>
      <c r="G16" s="2" t="inlineStr">
        <is>
          <t>Пароль НЕ меняется, показывается сообщение об ошибке. Текущий пароль продолжает действовать (проверь повторным входом).</t>
        </is>
      </c>
      <c r="H16" s="21" t="inlineStr">
        <is>
          <t>High</t>
        </is>
      </c>
      <c r="I16" s="3" t="inlineStr">
        <is>
          <t>Not Run</t>
        </is>
      </c>
      <c r="J16" s="2" t="inlineStr">
        <is>
          <t>web|negative</t>
        </is>
      </c>
    </row>
    <row r="17" ht="56.8" customHeight="1">
      <c r="A17" s="3" t="inlineStr">
        <is>
          <t>TC-016</t>
        </is>
      </c>
      <c r="B17" s="2" t="inlineStr">
        <is>
          <t>Web — Авторизация и сессии</t>
        </is>
      </c>
      <c r="C17" s="2" t="inlineStr">
        <is>
          <t>Страница входа / Сессия</t>
        </is>
      </c>
      <c r="D17" s="2" t="inlineStr">
        <is>
          <t>Новый пароль и повтор не совпадают
Форма не должна давать сохранить пароль с опечаткой в повторе.</t>
        </is>
      </c>
      <c r="E17" s="2" t="inlineStr">
        <is>
          <t>Вход под тестовым оператором. Открыт диалог «Сменить пароль».</t>
        </is>
      </c>
      <c r="F17" s="2" t="inlineStr">
        <is>
          <t>1. Введи верный старый пароль.
2. В поле нового пароля введи «password123».
3. В поле повтора введи «password124» (отличается последним символом).</t>
        </is>
      </c>
      <c r="G17" s="2" t="inlineStr">
        <is>
          <t>Под полем повтора появляется подсказка «Parollar mos kelmadi» (пароли не совпадают), кнопка «Saqlash» неактивна (серая) — сохранить нельзя.</t>
        </is>
      </c>
      <c r="H17" s="22" t="inlineStr">
        <is>
          <t>Medium</t>
        </is>
      </c>
      <c r="I17" s="3" t="inlineStr">
        <is>
          <t>Not Run</t>
        </is>
      </c>
      <c r="J17" s="2" t="inlineStr">
        <is>
          <t>web|negative</t>
        </is>
      </c>
    </row>
    <row r="18" ht="83.19999999999999" customHeight="1">
      <c r="A18" s="3" t="inlineStr">
        <is>
          <t>TC-017</t>
        </is>
      </c>
      <c r="B18" s="2" t="inlineStr">
        <is>
          <t>Web — Авторизация и сессии</t>
        </is>
      </c>
      <c r="C18" s="2" t="inlineStr">
        <is>
          <t>Страница входа / Сессия</t>
        </is>
      </c>
      <c r="D18" s="2" t="inlineStr">
        <is>
          <t>Новый пароль короче 8 символов
Граница минимальной длины нового пароля — 8 символов: 7 — ошибка, 8 — проходит. Заметь: на входе минимум 6, а здесь 8 — это разные проверки.</t>
        </is>
      </c>
      <c r="E18" s="2" t="inlineStr">
        <is>
          <t>Вход под тестовым оператором. Открыт диалог «Сменить пароль», старый пароль введён верно.</t>
        </is>
      </c>
      <c r="F18" s="2" t="inlineStr">
        <is>
          <t>1. Введи новый пароль из 7 символов (например, «1234567») и такой же повтор.
2. Посмотри на подсказки и кнопку «Saqlash».
3. Исправь новый пароль и повтор на 8 символов (например, «12345678»).
4. Нажми «Saqlash».</t>
        </is>
      </c>
      <c r="G18" s="2" t="inlineStr">
        <is>
          <t>Шаг 2: подсказка «Yangi parol kamida 8 ta belgi bo'lsin» (минимум 8 символов), сохранить нельзя. Шаг 4: пароль сохраняется, уведомление «Parol yangilandi». После теста верни исходный пароль.</t>
        </is>
      </c>
      <c r="H18" s="22" t="inlineStr">
        <is>
          <t>Medium</t>
        </is>
      </c>
      <c r="I18" s="3" t="inlineStr">
        <is>
          <t>Not Run</t>
        </is>
      </c>
      <c r="J18" s="2" t="inlineStr">
        <is>
          <t>web|boundary</t>
        </is>
      </c>
    </row>
    <row r="19" ht="96.39999999999999" customHeight="1">
      <c r="A19" s="3" t="inlineStr">
        <is>
          <t>TC-018</t>
        </is>
      </c>
      <c r="B19" s="2" t="inlineStr">
        <is>
          <t>Web — Авторизация и сессии</t>
        </is>
      </c>
      <c r="C19" s="2" t="inlineStr">
        <is>
          <t>Страница входа / Сессия</t>
        </is>
      </c>
      <c r="D19" s="2" t="inlineStr">
        <is>
          <t>РОП сбрасывает пароль оператору
Оператор забыл пароль. Восстановления «по ссылке на почту» в системе нет — пароль задаёт руководитель. Проверяем диалог «Сброс пароля».</t>
        </is>
      </c>
      <c r="E19" s="2" t="inlineStr">
        <is>
          <t>Вход под РОП. Есть тестовый оператор.</t>
        </is>
      </c>
      <c r="F19" s="2" t="inlineStr">
        <is>
          <t>1. Открой раздел «Операторы».
2. В строке тестового оператора открой меню действий (⋮) и нажми «Сбросить пароль».
3. В диалоге «Сброс пароля» введи «Новый пароль» (8+ символов) и «Повторите новый пароль».
4. Сохрани.
5. Выйди и войди под оператором с новым паролем.</t>
        </is>
      </c>
      <c r="G19" s="2" t="inlineStr">
        <is>
          <t>Шаг 4: уведомление «Пароль обновлён». Шаг 5: вход с новым паролем работает, со старым — нет.</t>
        </is>
      </c>
      <c r="H19" s="21" t="inlineStr">
        <is>
          <t>High</t>
        </is>
      </c>
      <c r="I19" s="3" t="inlineStr">
        <is>
          <t>Not Run</t>
        </is>
      </c>
      <c r="J19" s="2" t="inlineStr">
        <is>
          <t>web|positive</t>
        </is>
      </c>
    </row>
    <row r="20" ht="96.39999999999999" customHeight="1">
      <c r="A20" s="3" t="inlineStr">
        <is>
          <t>TC-019</t>
        </is>
      </c>
      <c r="B20" s="2" t="inlineStr">
        <is>
          <t>Web — Авторизация и сессии</t>
        </is>
      </c>
      <c r="C20" s="2" t="inlineStr">
        <is>
          <t>Страница входа / Сессия</t>
        </is>
      </c>
      <c r="D20" s="2" t="inlineStr">
        <is>
          <t>Долгая работа без выхода: сессия продлевается незаметно
Краткосрочный «пропуск» (токен) живёт 15 минут. Система должна продлевать его сама, не выбрасывая человека посреди работы.</t>
        </is>
      </c>
      <c r="E20" s="2" t="inlineStr">
        <is>
          <t>Вход под любой ролью.</t>
        </is>
      </c>
      <c r="F20" s="2" t="inlineStr">
        <is>
          <t>1. Открой любой раздел с данными (например, «Операторы»).
2. Оставь вкладку открытой на 20 минут, ничего не нажимая.
3. Вернись и перейди в другой раздел меню.</t>
        </is>
      </c>
      <c r="G20" s="2" t="inlineStr">
        <is>
          <t>Раздел открывается, данные загружаются. Повторный ввод логина и пароля НЕ требуется — продление произошло незаметно.</t>
        </is>
      </c>
      <c r="H20" s="22" t="inlineStr">
        <is>
          <t>Medium</t>
        </is>
      </c>
      <c r="I20" s="3" t="inlineStr">
        <is>
          <t>Not Run</t>
        </is>
      </c>
      <c r="J20" s="2" t="inlineStr">
        <is>
          <t>web|positive</t>
        </is>
      </c>
    </row>
    <row r="21" ht="70" customHeight="1">
      <c r="A21" s="3" t="inlineStr">
        <is>
          <t>TC-020</t>
        </is>
      </c>
      <c r="B21" s="2" t="inlineStr">
        <is>
          <t>Web — Авторизация и сессии</t>
        </is>
      </c>
      <c r="C21" s="2" t="inlineStr">
        <is>
          <t>Страница входа / Сессия</t>
        </is>
      </c>
      <c r="D21" s="2" t="inlineStr">
        <is>
          <t>Двойное нажатие «Войти» не ломает вход
Нетерпеливый пользователь может кликнуть кнопку дважды. Это не должно приводить к ошибке или двойному входу.</t>
        </is>
      </c>
      <c r="E21" s="2" t="inlineStr">
        <is>
          <t>Есть действующая учётная запись. Никто не залогинен.</t>
        </is>
      </c>
      <c r="F21" s="2" t="inlineStr">
        <is>
          <t>1. Открой страницу входа, введи верные логин и пароль.
2. Быстро нажми кнопку «Войти» два раза подряд.</t>
        </is>
      </c>
      <c r="G21" s="2" t="inlineStr">
        <is>
          <t>Выполняется один обычный вход. Во время обработки кнопка блокируется и показывает «Вход...» (uz: Kirilmoqda...). Ошибок на экране нет.</t>
        </is>
      </c>
      <c r="H21" s="23" t="inlineStr">
        <is>
          <t>Low</t>
        </is>
      </c>
      <c r="I21" s="3" t="inlineStr">
        <is>
          <t>Not Run</t>
        </is>
      </c>
      <c r="J21" s="2" t="inlineStr">
        <is>
          <t>web|negative</t>
        </is>
      </c>
    </row>
  </sheetData>
  <autoFilter ref="A1:J21"/>
  <conditionalFormatting sqref="I2:I5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1" showDropDown="0" showInputMessage="0" showErrorMessage="0" allowBlank="1" errorTitle="Недопустимое значение" error="Выбери значение из списка: Critical, High, Medium, Low" type="list">
      <formula1>"Critical,High,Medium,Low"</formula1>
    </dataValidation>
    <dataValidation sqref="I2:I5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TC-021</t>
        </is>
      </c>
      <c r="B2" s="2" t="inlineStr">
        <is>
          <t>Web/API — RBAC и tenant-изоляция</t>
        </is>
      </c>
      <c r="C2" s="2" t="inlineStr">
        <is>
          <t>Права доступа / Tenant isolation</t>
        </is>
      </c>
      <c r="D2" s="2" t="inlineStr">
        <is>
          <t>Меню супер-админа содержит только его разделы
У каждой роли своё меню. Супер-админ управляет клиентами и тарифами, но НЕ должен видеть рабочие разделы РОП и оператора. Иерархии ролей в системе нет — доступ задан явными списками (риск R-2).</t>
        </is>
      </c>
      <c r="E2" s="2" t="inlineStr">
        <is>
          <t>Вход под супер-админом.</t>
        </is>
      </c>
      <c r="F2" s="2" t="inlineStr">
        <is>
          <t>1. Посмотри на меню слева.
2. Выпиши все пункты меню в фактический результат.</t>
        </is>
      </c>
      <c r="G2" s="2" t="inlineStr">
        <is>
          <t>В меню есть: «РОПы», «Лиды», «Тарифы». В меню НЕТ: «Правила», «Настройка очереди», «Критерии», «Посещаемость», «Режим звонков», «Рабочее время», «Рабочий стол».</t>
        </is>
      </c>
      <c r="H2" s="21" t="inlineStr">
        <is>
          <t>High</t>
        </is>
      </c>
      <c r="I2" s="3" t="inlineStr">
        <is>
          <t>Not Run</t>
        </is>
      </c>
      <c r="J2" s="2" t="inlineStr">
        <is>
          <t>web|positive</t>
        </is>
      </c>
    </row>
    <row r="3" ht="83.19999999999999" customHeight="1">
      <c r="A3" s="3" t="inlineStr">
        <is>
          <t>TC-022</t>
        </is>
      </c>
      <c r="B3" s="2" t="inlineStr">
        <is>
          <t>Web/API — RBAC и tenant-изоляция</t>
        </is>
      </c>
      <c r="C3" s="2" t="inlineStr">
        <is>
          <t>Права доступа / Tenant isolation</t>
        </is>
      </c>
      <c r="D3" s="2" t="inlineStr">
        <is>
          <t>Меню РОП содержит только его разделы
РОП настраивает правила и управляет операторами, но не видит разделы супер-админа (клиенты, тарифы) и рабочие экраны оператора.</t>
        </is>
      </c>
      <c r="E3" s="2" t="inlineStr">
        <is>
          <t>Вход под РОП.</t>
        </is>
      </c>
      <c r="F3" s="2" t="inlineStr">
        <is>
          <t>1. Посмотри на меню слева.
2. Выпиши все пункты меню в фактический результат.</t>
        </is>
      </c>
      <c r="G3" s="2" t="inlineStr">
        <is>
          <t>В меню есть: «Правила», «Операторы», «Настройка очереди», «Критерии», «Посещаемость». В меню НЕТ: «РОПы», «Лиды», «Тарифы», «Режим звонков», «Рабочий стол», «Рабочее время».</t>
        </is>
      </c>
      <c r="H3" s="21" t="inlineStr">
        <is>
          <t>High</t>
        </is>
      </c>
      <c r="I3" s="3" t="inlineStr">
        <is>
          <t>Not Run</t>
        </is>
      </c>
      <c r="J3" s="2" t="inlineStr">
        <is>
          <t>web|positive</t>
        </is>
      </c>
    </row>
    <row r="4" ht="83.19999999999999" customHeight="1">
      <c r="A4" s="3" t="inlineStr">
        <is>
          <t>TC-023</t>
        </is>
      </c>
      <c r="B4" s="2" t="inlineStr">
        <is>
          <t>Web/API — RBAC и tenant-изоляция</t>
        </is>
      </c>
      <c r="C4" s="2" t="inlineStr">
        <is>
          <t>Права доступа / Tenant isolation</t>
        </is>
      </c>
      <c r="D4" s="2" t="inlineStr">
        <is>
          <t>Меню оператора содержит только его разделы
Оператор звонит и подтверждает результаты. Управленческих разделов у него быть не должно.</t>
        </is>
      </c>
      <c r="E4" s="2" t="inlineStr">
        <is>
          <t>Вход под оператором.</t>
        </is>
      </c>
      <c r="F4" s="2" t="inlineStr">
        <is>
          <t>1. Посмотри на меню слева.
2. Выпиши все пункты меню в фактический результат.</t>
        </is>
      </c>
      <c r="G4" s="2" t="inlineStr">
        <is>
          <t>В меню есть: «Рабочий стол», «Режим звонков», «Звонки», «Рабочее время». В меню НЕТ: «РОПы», «Лиды», «Тарифы», «Правила», «Операторы», «Настройка очереди», «Критерии», «Посещаемость».</t>
        </is>
      </c>
      <c r="H4" s="21" t="inlineStr">
        <is>
          <t>High</t>
        </is>
      </c>
      <c r="I4" s="3" t="inlineStr">
        <is>
          <t>Not Run</t>
        </is>
      </c>
      <c r="J4" s="2" t="inlineStr">
        <is>
          <t>web|positive</t>
        </is>
      </c>
    </row>
    <row r="5" ht="83.19999999999999" customHeight="1">
      <c r="A5" s="3" t="inlineStr">
        <is>
          <t>TC-024</t>
        </is>
      </c>
      <c r="B5" s="2" t="inlineStr">
        <is>
          <t>Web/API — RBAC и tenant-изоляция</t>
        </is>
      </c>
      <c r="C5" s="2" t="inlineStr">
        <is>
          <t>/dashboard/rop</t>
        </is>
      </c>
      <c r="D5" s="2" t="inlineStr">
        <is>
          <t>Оператор не открывает список РОПов по прямой ссылке
Спрятать пункт меню — мало: раздел можно открыть, введя адрес руками. Проверяем защиту самого экрана (риск R-2).</t>
        </is>
      </c>
      <c r="E5" s="2" t="inlineStr">
        <is>
          <t>Вход под оператором.</t>
        </is>
      </c>
      <c r="F5" s="2" t="inlineStr">
        <is>
          <t>1. В адресной строке браузера введи адрес стенда + /dashboard/rop и нажми Enter.</t>
        </is>
      </c>
      <c r="G5" s="2" t="inlineStr">
        <is>
          <t>Список РОПов НЕ показывается. Появляется заглушка «нет доступа» (или редирект на разрешённый раздел). Никакие данные таблицы не видны даже на долю секунды.</t>
        </is>
      </c>
      <c r="H5" s="20" t="inlineStr">
        <is>
          <t>Critical</t>
        </is>
      </c>
      <c r="I5" s="3" t="inlineStr">
        <is>
          <t>Not Run</t>
        </is>
      </c>
      <c r="J5" s="2" t="inlineStr">
        <is>
          <t>web|negative</t>
        </is>
      </c>
    </row>
    <row r="6" ht="96.39999999999999" customHeight="1">
      <c r="A6" s="3" t="inlineStr">
        <is>
          <t>TC-025</t>
        </is>
      </c>
      <c r="B6" s="2" t="inlineStr">
        <is>
          <t>Web/API — RBAC и tenant-изоляция</t>
        </is>
      </c>
      <c r="C6" s="2" t="inlineStr">
        <is>
          <t>/dashboard/plans · /dashboard/leads</t>
        </is>
      </c>
      <c r="D6" s="2" t="inlineStr">
        <is>
          <t>Оператор не открывает «Тарифы» и «Лиды» по прямой ссылке
Продолжение проверки прямых ссылок для оператора: экраны супер-админа «Тарифы» (цены) и «Лиды» (заявки с сайта) должны быть закрыты.</t>
        </is>
      </c>
      <c r="E6" s="2" t="inlineStr">
        <is>
          <t>Вход под оператором.</t>
        </is>
      </c>
      <c r="F6" s="2" t="inlineStr">
        <is>
          <t>1. Введи в адресной строке адрес стенда + /dashboard/plans. Посмотри результат.
2. Введи адрес стенда + /dashboard/leads. Посмотри результат.</t>
        </is>
      </c>
      <c r="G6" s="2" t="inlineStr">
        <is>
          <t>Оба раздела НЕ открываются — заглушка «нет доступа», данных не видно.</t>
        </is>
      </c>
      <c r="H6" s="20" t="inlineStr">
        <is>
          <t>Critical</t>
        </is>
      </c>
      <c r="I6" s="3" t="inlineStr">
        <is>
          <t>Not Run</t>
        </is>
      </c>
      <c r="J6" s="2" t="inlineStr">
        <is>
          <t>web|negative</t>
        </is>
      </c>
    </row>
    <row r="7" ht="96.39999999999999" customHeight="1">
      <c r="A7" s="3" t="inlineStr">
        <is>
          <t>TC-026</t>
        </is>
      </c>
      <c r="B7" s="2" t="inlineStr">
        <is>
          <t>Web/API — RBAC и tenant-изоляция</t>
        </is>
      </c>
      <c r="C7" s="2" t="inlineStr">
        <is>
          <t>/dashboard/rop · /dashboard/leads · /dashboard/plans</t>
        </is>
      </c>
      <c r="D7" s="2" t="inlineStr">
        <is>
          <t>РОП не открывает разделы супер-админа по прямой ссылке
РОП — это клиент компании. Список всех клиентов, заявки с сайта и управление тарифами — коммерческая информация владельца платформы.</t>
        </is>
      </c>
      <c r="E7" s="2" t="inlineStr">
        <is>
          <t>Вход под РОП.</t>
        </is>
      </c>
      <c r="F7" s="2" t="inlineStr">
        <is>
          <t>1. Введи в адресной строке адрес стенда + /dashboard/rop.
2. Затем /dashboard/leads.
3. Затем /dashboard/plans.</t>
        </is>
      </c>
      <c r="G7" s="2" t="inlineStr">
        <is>
          <t>Ни один из трёх разделов не открывается — везде заглушка «нет доступа», данные не показываются.</t>
        </is>
      </c>
      <c r="H7" s="20" t="inlineStr">
        <is>
          <t>Critical</t>
        </is>
      </c>
      <c r="I7" s="3" t="inlineStr">
        <is>
          <t>Not Run</t>
        </is>
      </c>
      <c r="J7" s="2" t="inlineStr">
        <is>
          <t>web|negative</t>
        </is>
      </c>
    </row>
    <row r="8" ht="109.6" customHeight="1">
      <c r="A8" s="3" t="inlineStr">
        <is>
          <t>TC-027</t>
        </is>
      </c>
      <c r="B8" s="2" t="inlineStr">
        <is>
          <t>Web/API — RBAC и tenant-изоляция</t>
        </is>
      </c>
      <c r="C8" s="2" t="inlineStr">
        <is>
          <t>/dashboard/calling · /dashboard/work · /dashboard/home</t>
        </is>
      </c>
      <c r="D8" s="2" t="inlineStr">
        <is>
          <t>РОП не открывает рабочие экраны оператора
«Режим звонков» и «Рабочее время» — личные рабочие экраны оператора. РОП управляет, но не звонит; его вход в режим обзвона мог бы захватить лида и сломать очередь.</t>
        </is>
      </c>
      <c r="E8" s="2" t="inlineStr">
        <is>
          <t>Вход под РОП.</t>
        </is>
      </c>
      <c r="F8" s="2" t="inlineStr">
        <is>
          <t>1. Введи в адресной строке адрес стенда + /dashboard/calling.
2. Затем /dashboard/work.
3. Затем /dashboard/home.</t>
        </is>
      </c>
      <c r="G8" s="2" t="inlineStr">
        <is>
          <t>Ни один экран не открывается — заглушка «нет доступа». Лид из очереди НЕ захвачен (в /dashboard/calling даже счётчик очереди не должен отработать).</t>
        </is>
      </c>
      <c r="H8" s="21" t="inlineStr">
        <is>
          <t>High</t>
        </is>
      </c>
      <c r="I8" s="3" t="inlineStr">
        <is>
          <t>Not Run</t>
        </is>
      </c>
      <c r="J8" s="2" t="inlineStr">
        <is>
          <t>web|negative</t>
        </is>
      </c>
    </row>
    <row r="9" ht="83.19999999999999" customHeight="1">
      <c r="A9" s="3" t="inlineStr">
        <is>
          <t>TC-028</t>
        </is>
      </c>
      <c r="B9" s="2" t="inlineStr">
        <is>
          <t>Web/API — RBAC и tenant-изоляция</t>
        </is>
      </c>
      <c r="C9" s="2" t="inlineStr">
        <is>
          <t>/dashboard/dynamic-form · /dashboard/mezonlar · /dashboard/operator-pipelines</t>
        </is>
      </c>
      <c r="D9" s="2" t="inlineStr">
        <is>
          <t>Супер-админ не открывает экраны РОП
Важная особенность системы: супер-админ НЕ «выше всех» — у него нет доступа к настройкам РОП. Проверяем, что список доступа нигде не расширен по ошибке.</t>
        </is>
      </c>
      <c r="E9" s="2" t="inlineStr">
        <is>
          <t>Вход под супер-админом.</t>
        </is>
      </c>
      <c r="F9" s="2" t="inlineStr">
        <is>
          <t>1. Введи в адресной строке адрес стенда + /dashboard/dynamic-form (Правила).
2. Затем /dashboard/mezonlar (Критерии).
3. Затем /dashboard/operator-pipelines (Настройка очереди).
4. Затем /dashboard/attendance (Посещаемость).</t>
        </is>
      </c>
      <c r="G9" s="2" t="inlineStr">
        <is>
          <t>Ни один из четырёх разделов не открывается — везде заглушка «нет доступа».</t>
        </is>
      </c>
      <c r="H9" s="21" t="inlineStr">
        <is>
          <t>High</t>
        </is>
      </c>
      <c r="I9" s="3" t="inlineStr">
        <is>
          <t>Not Run</t>
        </is>
      </c>
      <c r="J9" s="2" t="inlineStr">
        <is>
          <t>web|negative</t>
        </is>
      </c>
    </row>
    <row r="10" ht="83.19999999999999" customHeight="1">
      <c r="A10" s="3" t="inlineStr">
        <is>
          <t>TC-029</t>
        </is>
      </c>
      <c r="B10" s="2" t="inlineStr">
        <is>
          <t>Web/API — RBAC и tenant-изоляция</t>
        </is>
      </c>
      <c r="C10" s="2" t="inlineStr">
        <is>
          <t>/dashboard/calling · /dashboard/calls · /dashboard/work</t>
        </is>
      </c>
      <c r="D10" s="2" t="inlineStr">
        <is>
          <t>Супер-админ не открывает рабочие экраны оператора
Аналогично TC-028 — но для экранов оператора: режим обзвона, смена, рабочий стол, таблица лидов.</t>
        </is>
      </c>
      <c r="E10" s="2" t="inlineStr">
        <is>
          <t>Вход под супер-админом.</t>
        </is>
      </c>
      <c r="F10" s="2" t="inlineStr">
        <is>
          <t>1. Введи в адресной строке адрес стенда + /dashboard/calling.
2. Затем /dashboard/calls (таблица лидов оператора).
3. Затем /dashboard/work.
4. Затем /dashboard/home.</t>
        </is>
      </c>
      <c r="G10" s="2" t="inlineStr">
        <is>
          <t>Ни один экран не открывается — заглушка «нет доступа». Лид из очереди не захвачен.</t>
        </is>
      </c>
      <c r="H10" s="21" t="inlineStr">
        <is>
          <t>High</t>
        </is>
      </c>
      <c r="I10" s="3" t="inlineStr">
        <is>
          <t>Not Run</t>
        </is>
      </c>
      <c r="J10" s="2" t="inlineStr">
        <is>
          <t>web|negative</t>
        </is>
      </c>
    </row>
    <row r="11" ht="83.19999999999999" customHeight="1">
      <c r="A11" s="3" t="inlineStr">
        <is>
          <t>TC-030</t>
        </is>
      </c>
      <c r="B11" s="2" t="inlineStr">
        <is>
          <t>Web/API — RBAC и tenant-изоляция</t>
        </is>
      </c>
      <c r="C11" s="2" t="inlineStr">
        <is>
          <t>/dashboard/calls · /dashboard/rop · /dashboard/mezonlar</t>
        </is>
      </c>
      <c r="D11" s="2" t="inlineStr">
        <is>
          <t>Незалогиненный гость всегда попадает на страницу входа
Любой внутренний адрес системы без входа должен вести на форму логина, а не показывать данные.</t>
        </is>
      </c>
      <c r="E11" s="2" t="inlineStr">
        <is>
          <t>Никто не залогинен (новое приватное окно браузера).</t>
        </is>
      </c>
      <c r="F11" s="2" t="inlineStr">
        <is>
          <t>1. Введи в адресной строке адрес стенда + /dashboard/calls.
2. Затем /dashboard/rop.
3. Затем /dashboard/mezonlar.</t>
        </is>
      </c>
      <c r="G11" s="2" t="inlineStr">
        <is>
          <t>Во всех трёх случаях открывается страница входа. Никакие данные разделов не мелькают до редиректа.</t>
        </is>
      </c>
      <c r="H11" s="20" t="inlineStr">
        <is>
          <t>Critical</t>
        </is>
      </c>
      <c r="I11" s="3" t="inlineStr">
        <is>
          <t>Not Run</t>
        </is>
      </c>
      <c r="J11" s="2" t="inlineStr">
        <is>
          <t>web|negative</t>
        </is>
      </c>
    </row>
    <row r="12" ht="122.8" customHeight="1">
      <c r="A12" s="3" t="inlineStr">
        <is>
          <t>TC-031</t>
        </is>
      </c>
      <c r="B12" s="2" t="inlineStr">
        <is>
          <t>Web/API — RBAC и tenant-изоляция</t>
        </is>
      </c>
      <c r="C12" s="2" t="inlineStr">
        <is>
          <t>Права доступа / Tenant isolation</t>
        </is>
      </c>
      <c r="D12" s="2" t="inlineStr">
        <is>
          <t>Супер-админ не может править операторов чужого РОП
По требованию доступ супер-админа к операторам РОП — «только просмотр». Но таблица операторов у него та же, что у РОП, и кнопки действий в ней технически есть (находка из анализа кода, риск R-2). Проверяем, что сервер отклоняет изменения.</t>
        </is>
      </c>
      <c r="E12" s="2" t="inlineStr">
        <is>
          <t>Вход под супер-админом. У тестового РОП есть тестовый оператор.</t>
        </is>
      </c>
      <c r="F12" s="2" t="inlineStr">
        <is>
          <t>1. Открой «РОПы», нажми на строку тестового РОП — откроется его карточка со списком операторов.
2. Попробуй найти у оператора действия «Редактировать» / «Деактивировать» / «Сбросить пароль».
3. Если действия доступны — попробуй изменить у оператора имя и сохранить.</t>
        </is>
      </c>
      <c r="G12" s="2" t="inlineStr">
        <is>
          <t>Идеально: действий редактирования нет вообще (только просмотр). Допустимо: действия видны, но сервер отвечает отказом и данные не меняются. Если изменение ПРОШЛО — это дефект прав (R-2), фиксируй как баг.</t>
        </is>
      </c>
      <c r="H12" s="21" t="inlineStr">
        <is>
          <t>High</t>
        </is>
      </c>
      <c r="I12" s="3" t="inlineStr">
        <is>
          <t>Not Run</t>
        </is>
      </c>
      <c r="J12" s="2" t="inlineStr">
        <is>
          <t>web|negative</t>
        </is>
      </c>
    </row>
    <row r="13" ht="83.19999999999999" customHeight="1">
      <c r="A13" s="3" t="inlineStr">
        <is>
          <t>TC-032</t>
        </is>
      </c>
      <c r="B13" s="2" t="inlineStr">
        <is>
          <t>Web/API — RBAC и tenant-изоляция</t>
        </is>
      </c>
      <c r="C13" s="2" t="inlineStr">
        <is>
          <t>Права доступа / Tenant isolation</t>
        </is>
      </c>
      <c r="D13" s="2" t="inlineStr">
        <is>
          <t>РОП-А не видит операторов РОП-Б
Главная проверка изоляции клиентов (риск R-1 — критический). Два разных клиента платформы не должны видеть данные друг друга.</t>
        </is>
      </c>
      <c r="E13" s="2" t="inlineStr">
        <is>
          <t>На стенде есть два РОП: РОП-А и РОП-Б, у каждого хотя бы один оператор. Логины обоих известны QA.</t>
        </is>
      </c>
      <c r="F13" s="2" t="inlineStr">
        <is>
          <t>1. Войди под РОП-А, открой «Операторы».
2. Выпиши список операторов.
3. Выйди, войди под РОП-Б, открой «Операторы».
4. Сравни списки.</t>
        </is>
      </c>
      <c r="G13" s="2" t="inlineStr">
        <is>
          <t>Каждый РОП видит ТОЛЬКО своих операторов. Ни одного пересечения между списками нет.</t>
        </is>
      </c>
      <c r="H13" s="20" t="inlineStr">
        <is>
          <t>Critical</t>
        </is>
      </c>
      <c r="I13" s="3" t="inlineStr">
        <is>
          <t>Not Run</t>
        </is>
      </c>
      <c r="J13" s="2" t="inlineStr">
        <is>
          <t>web|negative</t>
        </is>
      </c>
    </row>
    <row r="14" ht="96.39999999999999" customHeight="1">
      <c r="A14" s="3" t="inlineStr">
        <is>
          <t>TC-033</t>
        </is>
      </c>
      <c r="B14" s="2" t="inlineStr">
        <is>
          <t>Web/API — RBAC и tenant-изоляция</t>
        </is>
      </c>
      <c r="C14" s="2" t="inlineStr">
        <is>
          <t>/dashboard/operators/НОМЕР · /dashboard/operators/НОМЕР-оператора-РОП-Б · /dashboard/operators/НОМЕР/calls</t>
        </is>
      </c>
      <c r="D14" s="2" t="inlineStr">
        <is>
          <t>РОП-А не открывает карточку оператора РОП-Б по прямой ссылке
Изоляция должна работать и для прямых ссылок с чужим номером (ID) в адресе — самый частый способ «дыры»: перебор чисел в адресной строке.</t>
        </is>
      </c>
      <c r="E14" s="2" t="inlineStr">
        <is>
          <t>Известен ID оператора РОП-Б (виден в адресе его карточки при входе под РОП-Б: /dashboard/operators/НОМЕР). Вход под РОП-А.</t>
        </is>
      </c>
      <c r="F14" s="2" t="inlineStr">
        <is>
          <t>1. Введи в адресной строке адрес стенда + /dashboard/operators/НОМЕР-оператора-РОП-Б.
2. Затем открой /dashboard/operators/НОМЕР/calls (звонки этого оператора).</t>
        </is>
      </c>
      <c r="G14" s="2" t="inlineStr">
        <is>
          <t>Карточка чужого оператора НЕ открывается: «нет доступа», «не найдено» или пустая страница без данных. Имя, зарплата, звонки чужого оператора не видны.</t>
        </is>
      </c>
      <c r="H14" s="20" t="inlineStr">
        <is>
          <t>Critical</t>
        </is>
      </c>
      <c r="I14" s="3" t="inlineStr">
        <is>
          <t>Not Run</t>
        </is>
      </c>
      <c r="J14" s="2" t="inlineStr">
        <is>
          <t>web|negative</t>
        </is>
      </c>
    </row>
    <row r="15" ht="96.39999999999999" customHeight="1">
      <c r="A15" s="3" t="inlineStr">
        <is>
          <t>TC-034</t>
        </is>
      </c>
      <c r="B15" s="2" t="inlineStr">
        <is>
          <t>Web/API — RBAC и tenant-изоляция</t>
        </is>
      </c>
      <c r="C15" s="2" t="inlineStr">
        <is>
          <t>Права доступа / Tenant isolation</t>
        </is>
      </c>
      <c r="D15" s="2" t="inlineStr">
        <is>
          <t>Оператор видит только лиды воронок своего РОП
Таблица «Звонки» оператора — это сделки из AmoCRM его компании. Лиды другой компании (РОП-Б) появляться не должны (риск R-1).</t>
        </is>
      </c>
      <c r="E15" s="2" t="inlineStr">
        <is>
          <t>У РОП-А и РОП-Б настроены свои AmoCRM с разными лидами. Известно несколько названий лидов РОП-Б. Вход под оператором РОП-А.</t>
        </is>
      </c>
      <c r="F15" s="2" t="inlineStr">
        <is>
          <t>1. Открой раздел «Звонки».
2. Просмотри таблицу (пролистай все страницы или используй поиск).
3. Поищи названия лидов, принадлежащих РОП-Б.</t>
        </is>
      </c>
      <c r="G15" s="2" t="inlineStr">
        <is>
          <t>Лиды РОП-Б в таблице отсутствуют. Видны только лиды воронок, назначенных этому оператору его РОП.</t>
        </is>
      </c>
      <c r="H15" s="20" t="inlineStr">
        <is>
          <t>Critical</t>
        </is>
      </c>
      <c r="I15" s="3" t="inlineStr">
        <is>
          <t>Not Run</t>
        </is>
      </c>
      <c r="J15" s="2" t="inlineStr">
        <is>
          <t>web|negative</t>
        </is>
      </c>
    </row>
    <row r="16" ht="96.39999999999999" customHeight="1">
      <c r="A16" s="3" t="inlineStr">
        <is>
          <t>TC-035</t>
        </is>
      </c>
      <c r="B16" s="2" t="inlineStr">
        <is>
          <t>Web/API — RBAC и tenant-изоляция</t>
        </is>
      </c>
      <c r="C16" s="2" t="inlineStr">
        <is>
          <t>/dashboard/calls/НОМЕР</t>
        </is>
      </c>
      <c r="D16" s="2" t="inlineStr">
        <is>
          <t>Оператор не открывает чужую карточку звонка по прямой ссылке
Карточка звонка содержит запись разговора и данные клиента. Подстановка чужого номера события в адрес не должна открывать чужой звонок.</t>
        </is>
      </c>
      <c r="E16" s="2" t="inlineStr">
        <is>
          <t>Известен адрес карточки звонка оператора РОП-Б (/dashboard/calls/НОМЕР — виден при входе под РОП-Б). Вход под оператором РОП-А.</t>
        </is>
      </c>
      <c r="F16" s="2" t="inlineStr">
        <is>
          <t>1. Введи в адресной строке адрес чужой карточки звонка.
2. Если открылось что-то — попробуй нажать на запись разговора и транскрипцию.</t>
        </is>
      </c>
      <c r="G16" s="2" t="inlineStr">
        <is>
          <t>Чужая карточка не открывается: «нет доступа» / «не найдено». Аудиозапись и текст разговора чужой компании недоступны.</t>
        </is>
      </c>
      <c r="H16" s="20" t="inlineStr">
        <is>
          <t>Critical</t>
        </is>
      </c>
      <c r="I16" s="3" t="inlineStr">
        <is>
          <t>Not Run</t>
        </is>
      </c>
      <c r="J16" s="2" t="inlineStr">
        <is>
          <t>web|negative</t>
        </is>
      </c>
    </row>
    <row r="17" ht="96.39999999999999" customHeight="1">
      <c r="A17" s="3" t="inlineStr">
        <is>
          <t>TC-036</t>
        </is>
      </c>
      <c r="B17" s="2" t="inlineStr">
        <is>
          <t>Web/API — RBAC и tenant-изоляция</t>
        </is>
      </c>
      <c r="C17" s="2" t="inlineStr">
        <is>
          <t>Права доступа / Tenant isolation</t>
        </is>
      </c>
      <c r="D17" s="2" t="inlineStr">
        <is>
          <t>РОП-А не видит настройки и воронку РОП-Б
Правила («Правила»), настройки очереди («Критерии») и привязка воронок — у каждого РОП свои. Проверяем, что экраны РОП-А показывают только его данные.</t>
        </is>
      </c>
      <c r="E17" s="2" t="inlineStr">
        <is>
          <t>У РОП-А и РОП-Б подключены разные AmoCRM (разные воронки, названия известны). Вход под РОП-А.</t>
        </is>
      </c>
      <c r="F17" s="2" t="inlineStr">
        <is>
          <t>1. Открой «Правила». Посмотри название воронки и список статусов.
2. Открой «Настройка очереди». Посмотри список воронок и операторов.
3. Открой «Критерии». Посмотри значения настроек.</t>
        </is>
      </c>
      <c r="G17" s="2" t="inlineStr">
        <is>
          <t>Везде — только воронки, статусы и операторы РОП-А. Названия воронок РОП-Б нигде не встречаются.</t>
        </is>
      </c>
      <c r="H17" s="20" t="inlineStr">
        <is>
          <t>Critical</t>
        </is>
      </c>
      <c r="I17" s="3" t="inlineStr">
        <is>
          <t>Not Run</t>
        </is>
      </c>
      <c r="J17" s="2" t="inlineStr">
        <is>
          <t>web|negative</t>
        </is>
      </c>
    </row>
    <row r="18" ht="83.19999999999999" customHeight="1">
      <c r="A18" s="3" t="inlineStr">
        <is>
          <t>TC-037</t>
        </is>
      </c>
      <c r="B18" s="2" t="inlineStr">
        <is>
          <t>Web/API — RBAC и tenant-изоляция</t>
        </is>
      </c>
      <c r="C18" s="2" t="inlineStr">
        <is>
          <t>Права доступа / Tenant isolation</t>
        </is>
      </c>
      <c r="D18" s="2" t="inlineStr">
        <is>
          <t>РОП-А не видит посещаемость операторов РОП-Б
Экран «Посещаемость» показывает смены и перерывы операторов. Данные чужой компании — закрыты.</t>
        </is>
      </c>
      <c r="E18" s="2" t="inlineStr">
        <is>
          <t>Вход под РОП-А. У РОП-Б есть операторы со сменами.</t>
        </is>
      </c>
      <c r="F18" s="2" t="inlineStr">
        <is>
          <t>1. Открой «Посещаемость».
2. Просмотри список операторов за текущую неделю.</t>
        </is>
      </c>
      <c r="G18" s="2" t="inlineStr">
        <is>
          <t>В списке — только операторы РОП-А. Операторов РОП-Б нет.</t>
        </is>
      </c>
      <c r="H18" s="21" t="inlineStr">
        <is>
          <t>High</t>
        </is>
      </c>
      <c r="I18" s="3" t="inlineStr">
        <is>
          <t>Not Run</t>
        </is>
      </c>
      <c r="J18" s="2" t="inlineStr">
        <is>
          <t>web|negative</t>
        </is>
      </c>
    </row>
    <row r="19" ht="109.6" customHeight="1">
      <c r="A19" s="3" t="inlineStr">
        <is>
          <t>TC-038</t>
        </is>
      </c>
      <c r="B19" s="2" t="inlineStr">
        <is>
          <t>Web/API — RBAC и tenant-изоляция</t>
        </is>
      </c>
      <c r="C19" s="2" t="inlineStr">
        <is>
          <t>/dashboard/calls/НОМЕР/transcript/НОМЕР</t>
        </is>
      </c>
      <c r="D19" s="2" t="inlineStr">
        <is>
          <t>Транскрипция чужого звонка недоступна по прямой ссылке
Экран транскрипции доступен всем трём ролям, поэтому изоляция здесь держится только на проверке компании на сервере. Подстановка чужих номеров в адрес не должна открывать текст чужого разговора.</t>
        </is>
      </c>
      <c r="E19" s="2" t="inlineStr">
        <is>
          <t>Известен полный адрес транскрипции звонка РОП-Б (/dashboard/calls/НОМЕР/transcript/НОМЕР). Вход под оператором РОП-А.</t>
        </is>
      </c>
      <c r="F19" s="2" t="inlineStr">
        <is>
          <t>1. Введи в адресной строке адрес чужой транскрипции.</t>
        </is>
      </c>
      <c r="G19" s="2" t="inlineStr">
        <is>
          <t>Текст разговора НЕ показывается: «нет доступа» / «не найдено» / пустая страница.</t>
        </is>
      </c>
      <c r="H19" s="21" t="inlineStr">
        <is>
          <t>High</t>
        </is>
      </c>
      <c r="I19" s="3" t="inlineStr">
        <is>
          <t>Not Run</t>
        </is>
      </c>
      <c r="J19" s="2" t="inlineStr">
        <is>
          <t>web|negative</t>
        </is>
      </c>
    </row>
    <row r="20" ht="96.39999999999999" customHeight="1">
      <c r="A20" s="3" t="inlineStr">
        <is>
          <t>TC-039</t>
        </is>
      </c>
      <c r="B20" s="2" t="inlineStr">
        <is>
          <t>Web/API — RBAC и tenant-изоляция</t>
        </is>
      </c>
      <c r="C20" s="2" t="inlineStr">
        <is>
          <t>Права доступа / Tenant isolation</t>
        </is>
      </c>
      <c r="D20" s="2" t="inlineStr">
        <is>
          <t>После выхода кнопка «Назад» не показывает данные
Человек вышел из системы за общим компьютером. Следующий за компьютером не должен увидеть данные через историю браузера.</t>
        </is>
      </c>
      <c r="E20" s="2" t="inlineStr">
        <is>
          <t>Вход под РОП, открыт раздел «Операторы» (таблица с данными).</t>
        </is>
      </c>
      <c r="F20" s="2" t="inlineStr">
        <is>
          <t>1. Выйди из системы (аватар → «Выйти»).
2. Нажми кнопку «Назад» в браузере.
3. Если что-то показалось — нажми F5.</t>
        </is>
      </c>
      <c r="G20" s="2" t="inlineStr">
        <is>
          <t>Таблица операторов не отображается — показывается страница входа. Допустимо мгновенное появление «скелета» страницы без данных, но не самих данных.</t>
        </is>
      </c>
      <c r="H20" s="22" t="inlineStr">
        <is>
          <t>Medium</t>
        </is>
      </c>
      <c r="I20" s="3" t="inlineStr">
        <is>
          <t>Not Run</t>
        </is>
      </c>
      <c r="J20" s="2" t="inlineStr">
        <is>
          <t>web|negative</t>
        </is>
      </c>
    </row>
    <row r="21" ht="162.4" customHeight="1">
      <c r="A21" s="3" t="inlineStr">
        <is>
          <t>TC-040</t>
        </is>
      </c>
      <c r="B21" s="2" t="inlineStr">
        <is>
          <t>Web/API — RBAC и tenant-изоляция</t>
        </is>
      </c>
      <c r="C21" s="2" t="inlineStr">
        <is>
          <t>/v1/users</t>
        </is>
      </c>
      <c r="D21" s="2" t="inlineStr">
        <is>
          <t>API: запрос без токена отклоняется (401)
Каждый запрос к API должен предъявлять «пропуск» (токен). Проверяем, что без него сервер отвечает отказом 401 и не отдаёт данные. Что делает команда ниже: curl — это программа, которая отправляет запрос на сервер, как это делает браузер, только из командной строки. Мы просим у сервера список пользователей, не представившись.</t>
        </is>
      </c>
      <c r="E21" s="2" t="inlineStr">
        <is>
          <t>Известен адрес бэкенда тестового стенда ({STAGE_API_URL} — взять из .env, переменная с URL стенда). Установлен curl (в Windows 10/11 уже встроен: открой «Терминал»).</t>
        </is>
      </c>
      <c r="F21" s="2" t="inlineStr">
        <is>
          <t>1. Открой терминал (Windows: Win+R → cmd → Enter).
2. Вставь команду, заменив {STAGE_API_URL} на адрес стенда, и нажми Enter:
   curl -i {STAGE_API_URL}/v1/users
3. Посмотри первую строку ответа — в ней код (например, «HTTP/1.1 401 Unauthorized»).
4. Просмотри остальной ответ: в нём не должно быть списка людей (имён, логинов).</t>
        </is>
      </c>
      <c r="G21" s="2" t="inlineStr">
        <is>
          <t>Код ответа — 401 (Unauthorized, «не представился»). В теле ответа — только сообщение об ошибке, никаких данных пользователей.</t>
        </is>
      </c>
      <c r="H21" s="20" t="inlineStr">
        <is>
          <t>Critical</t>
        </is>
      </c>
      <c r="I21" s="3" t="inlineStr">
        <is>
          <t>Not Run</t>
        </is>
      </c>
      <c r="J21" s="2" t="inlineStr">
        <is>
          <t>api|negative</t>
        </is>
      </c>
    </row>
    <row r="22" ht="281.2" customHeight="1">
      <c r="A22" s="3" t="inlineStr">
        <is>
          <t>TC-041</t>
        </is>
      </c>
      <c r="B22" s="2" t="inlineStr">
        <is>
          <t>Web/API — RBAC и tenant-изоляция</t>
        </is>
      </c>
      <c r="C22" s="2" t="inlineStr">
        <is>
          <t>/v1/auth/login · /v1/rops</t>
        </is>
      </c>
      <c r="D22" s="2" t="inlineStr">
        <is>
          <t>API: оператор не может создать РОП
Создание РОП — операция супер-админа. Проверяем на уровне API, что сервер отклонит её с токеном оператора: интерфейс кнопку прячет, но запрос можно отправить и напрямую — защита должна быть на сервере (риск R-2). Сначала получаем токен оператора (шаг 2), потом пробуем создать РОП (шаг 4).</t>
        </is>
      </c>
      <c r="E22" s="2" t="inlineStr">
        <is>
          <t>Известны {STAGE_API_URL} и логин/пароль ТЕСТОВОГО оператора (из .env). Терминал с curl.</t>
        </is>
      </c>
      <c r="F22" s="2" t="inlineStr">
        <is>
          <t>1. Открой терминал.
2. Получи токен оператора — отправь свой логин и пароль (подставь свои значения):
   curl -s -X POST {STAGE_API_URL}/v1/auth/login -H "Content-Type: application/json" -d "{\"username\":\"ЛОГИН_ОПЕРАТОРА\",\"password\":\"ПАРОЛЬ\"}"
3. В ответе найди поле access_token и скопируй длинную строку в кавычках после него — это и есть «пропуск» на ближайшие 15 минут.
4. Попробуй создать РОП с этим пропуском (вставь скопированный токен вместо ТОКЕН):
   curl -i -X POST {STAGE_API_URL}/v1/rops -H "Authorization: Bearer ТОКЕН" -H "Content-Type: application/json" -d "{\"username\":\"qa-test-rop-tc042\",\"password\":\"qa-test-12345\",\"first_name\":\"QA\",\"last_name\":\"Test\",\"company_name\":\"QA Test TC-042\"}"
5. Посмотри код в первой строке ответа.
6. Войди в админку под супер-админом и проверь раздел «РОПы»: компания «QA Test TC-042» появиться НЕ должна.</t>
        </is>
      </c>
      <c r="G22" s="2" t="inlineStr">
        <is>
          <t>Шаг 4: код ответа 403 (Forbidden, «нет прав») — не 200 и не 201. Шаг 6: новый РОП в списке не появился. Если появился — критический дефект прав, заводим баг немедленно.</t>
        </is>
      </c>
      <c r="H22" s="20" t="inlineStr">
        <is>
          <t>Critical</t>
        </is>
      </c>
      <c r="I22" s="3" t="inlineStr">
        <is>
          <t>Not Run</t>
        </is>
      </c>
      <c r="J22" s="2" t="inlineStr">
        <is>
          <t>api|negative</t>
        </is>
      </c>
    </row>
    <row r="23" ht="122.8" customHeight="1">
      <c r="A23" s="3" t="inlineStr">
        <is>
          <t>TC-042</t>
        </is>
      </c>
      <c r="B23" s="2" t="inlineStr">
        <is>
          <t>Web/API — RBAC и tenant-изоляция</t>
        </is>
      </c>
      <c r="C23" s="2" t="inlineStr">
        <is>
          <t>/dashboard/operators/ЭТОТ-ДЛИННЫЙ-НОМЕР · /v1/users/ID_ОПЕРАТОРА_РОП_Б</t>
        </is>
      </c>
      <c r="D23" s="2" t="inlineStr">
        <is>
          <t>API: РОП-А не читает данные оператора РОП-Б
Изоляция клиентов на уровне API (риск R-1). Даже зная внутренний номер (ID) чужого оператора, РОП-А не должен получить его данные запросом напрямую — интерфейс это скрывает, но сервер должен проверять принадлежность сам.</t>
        </is>
      </c>
      <c r="E23" s="2" t="inlineStr">
        <is>
          <t>Известны {STAGE_API_URL}, логин/пароль РОП-А и ID любого оператора РОП-Б (ID виден в адресной строке карточки оператора при входе под РОП-Б: /dashboard/operators/ЭТОТ-ДЛИННЫЙ-НОМЕР).</t>
        </is>
      </c>
      <c r="F23" s="2" t="inlineStr">
        <is>
          <t>1. Открой терминал.
2. Получи токен РОП-А (как в TC-041, шаг 2, только с логином и паролем РОП-А).
3. Запроси карточку чужого оператора (подставь токен РОП-А и ID оператора РОП-Б):
   curl -i {STAGE_API_URL}/v1/users/ID_ОПЕРАТОРА_РОП_Б -H "Authorization: Bearer ТОКЕН"
4. Посмотри код ответа и тело.</t>
        </is>
      </c>
      <c r="G23" s="2" t="inlineStr">
        <is>
          <t>Код ответа 403 или 404 — оба допустимы. В теле НЕТ данных оператора: ни имени, ни телефона, ни зарплаты, ни внутреннего номера. Если данные вернулись — критический дефект изоляции (R-1), баг немедленно.</t>
        </is>
      </c>
      <c r="H23" s="20" t="inlineStr">
        <is>
          <t>Critical</t>
        </is>
      </c>
      <c r="I23" s="3" t="inlineStr">
        <is>
          <t>Not Run</t>
        </is>
      </c>
      <c r="J23" s="2" t="inlineStr">
        <is>
          <t>api|negative</t>
        </is>
      </c>
    </row>
    <row r="24" ht="109.6" customHeight="1">
      <c r="A24" s="3" t="inlineStr">
        <is>
          <t>TC-043</t>
        </is>
      </c>
      <c r="B24" s="2" t="inlineStr">
        <is>
          <t>Web/API — RBAC и tenant-изоляция</t>
        </is>
      </c>
      <c r="C24" s="2" t="inlineStr">
        <is>
          <t>/dashboard/mezonlar</t>
        </is>
      </c>
      <c r="D24" s="2" t="inlineStr">
        <is>
          <t>Смена роли требует нового входа: сессии не смешиваются
Проверяем, что после выхода из-под одной роли и входа под другой права применяются заново — меню и доступы соответствуют НОВОЙ роли, ничего не «прилипло» от предыдущей.</t>
        </is>
      </c>
      <c r="E24" s="2" t="inlineStr">
        <is>
          <t>Известны учётные записи РОП и оператора одной компании.</t>
        </is>
      </c>
      <c r="F24" s="2" t="inlineStr">
        <is>
          <t>1. Войди под РОП. Убедись, что видишь меню РОП (см. TC-022).
2. Выйди. Войди под оператором в том же браузере.
3. Посмотри меню и попробуй открыть /dashboard/mezonlar по прямой ссылке.</t>
        </is>
      </c>
      <c r="G24" s="2" t="inlineStr">
        <is>
          <t>После входа под оператором меню — операторское (см. TC-023), а «Критерии» по прямой ссылке НЕ открываются, хотя минуту назад под РОП открывались.</t>
        </is>
      </c>
      <c r="H24" s="21" t="inlineStr">
        <is>
          <t>High</t>
        </is>
      </c>
      <c r="I24" s="3" t="inlineStr">
        <is>
          <t>Not Run</t>
        </is>
      </c>
      <c r="J24" s="2" t="inlineStr">
        <is>
          <t>web|negative</t>
        </is>
      </c>
    </row>
  </sheetData>
  <autoFilter ref="A1:J24"/>
  <conditionalFormatting sqref="I2:I5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4" showDropDown="0" showInputMessage="0" showErrorMessage="0" allowBlank="1" errorTitle="Недопустимое значение" error="Выбери значение из списка: Critical, High, Medium, Low" type="list">
      <formula1>"Critical,High,Medium,Low"</formula1>
    </dataValidation>
    <dataValidation sqref="I2:I5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TC-044</t>
        </is>
      </c>
      <c r="B2" s="2" t="inlineStr">
        <is>
          <t>Web — Пользователи</t>
        </is>
      </c>
      <c r="C2" s="2" t="inlineStr">
        <is>
          <t>РОПы / Операторы</t>
        </is>
      </c>
      <c r="D2" s="2" t="inlineStr">
        <is>
          <t>Супер-админ создаёт нового РОП
Проверяем основной путь создания компании РОП. РОП — руководитель отдела продаж, который после создания получает собственную компанию и сможет добавлять операторов.</t>
        </is>
      </c>
      <c r="E2" s="2" t="inlineStr">
        <is>
          <t>Работа ведётся только на staging. Выполнен вход под супер-админом. Подготовлены уникальные логин, телефон и название тестовой компании.</t>
        </is>
      </c>
      <c r="F2" s="2" t="inlineStr">
        <is>
          <t>1. В меню слева открой раздел «РОПы».
2. Нажми кнопку «Новый РОП».
3. Заполни поля «Имя», «Фамилия», «Телефон», «Пароль», «Имя пользователя (логин)» и «Название компании».
4. В поле «Тариф» выбери любой тестовый тариф.
5. Нажми кнопку «Создать».
6. Найди новую компанию в таблице «Компании РОП».</t>
        </is>
      </c>
      <c r="G2" s="2" t="inlineStr">
        <is>
          <t>Появляется сообщение «Пользователь создан». В таблице есть ровно одна новая строка с указанной компанией и Ф.И.О.; роль — «РОП», статус — «Активен». Созданный РОП может войти со своими логином и паролем.</t>
        </is>
      </c>
      <c r="H2" s="20" t="inlineStr">
        <is>
          <t>Critical</t>
        </is>
      </c>
      <c r="I2" s="3" t="inlineStr">
        <is>
          <t>Not Run</t>
        </is>
      </c>
      <c r="J2" s="2" t="inlineStr">
        <is>
          <t>web|positive</t>
        </is>
      </c>
    </row>
    <row r="3" ht="96.39999999999999" customHeight="1">
      <c r="A3" s="3" t="inlineStr">
        <is>
          <t>TC-045</t>
        </is>
      </c>
      <c r="B3" s="2" t="inlineStr">
        <is>
          <t>Web — Пользователи</t>
        </is>
      </c>
      <c r="C3" s="2" t="inlineStr">
        <is>
          <t>РОПы / Операторы</t>
        </is>
      </c>
      <c r="D3" s="2" t="inlineStr">
        <is>
          <t>Создание РОП с пустыми обязательными полями запрещено
Проверяем, что пустая карточка не сохраняется. Это защищает список пользователей от записей без имени, контакта, логина или компании.</t>
        </is>
      </c>
      <c r="E3" s="2" t="inlineStr">
        <is>
          <t>Выполнен вход под супер-админом, открыт раздел «РОПы».</t>
        </is>
      </c>
      <c r="F3" s="2" t="inlineStr">
        <is>
          <t>1. Нажми «Новый РОП».
2. Ничего не вводи и по очереди нажми в каждое поле, затем щёлкни вне поля.
3. Посмотри на подсказки под полями.
4. Проверь состояние кнопки «Создать».</t>
        </is>
      </c>
      <c r="G3" s="2" t="inlineStr">
        <is>
          <t>Под пустыми полями показаны понятные сообщения: «Имя обязательно», «Фамилия обязательна», «Телефон обязателен», «Имя пользователя обязательно», «Название компании обязательно» и требование к паролю. Кнопка «Создать» неактивна, пользователь не появляется.</t>
        </is>
      </c>
      <c r="H3" s="21" t="inlineStr">
        <is>
          <t>High</t>
        </is>
      </c>
      <c r="I3" s="3" t="inlineStr">
        <is>
          <t>Not Run</t>
        </is>
      </c>
      <c r="J3" s="2" t="inlineStr">
        <is>
          <t>web|negative</t>
        </is>
      </c>
    </row>
    <row r="4" ht="109.6" customHeight="1">
      <c r="A4" s="3" t="inlineStr">
        <is>
          <t>TC-046</t>
        </is>
      </c>
      <c r="B4" s="2" t="inlineStr">
        <is>
          <t>Web — Пользователи</t>
        </is>
      </c>
      <c r="C4" s="2" t="inlineStr">
        <is>
          <t>РОПы / Операторы</t>
        </is>
      </c>
      <c r="D4" s="2" t="inlineStr">
        <is>
          <t>Телефон РОП принимает только номер Узбекистана
Регрессия BUG-004: раньше поле телефона принимало буквы и любой текст. Проверяем формат +998 и девять цифр абонента.</t>
        </is>
      </c>
      <c r="E4" s="2" t="inlineStr">
        <is>
          <t>Выполнен вход под супер-админом, открыта форма «Создать РОП». Остальные поля заполнены корректными уникальными значениями.</t>
        </is>
      </c>
      <c r="F4" s="2" t="inlineStr">
        <is>
          <t>1. В поле «Телефон» введи буквы, например «абвгд».
2. Щёлкни вне поля и прочитай сообщение.
3. Замени значение на слишком короткий номер «+998 90 123».
4. Щёлкни вне поля и снова проверь сообщение.
5. Введи корректный тестовый номер в формате «+998 90 123 45 67».</t>
        </is>
      </c>
      <c r="G4" s="2" t="inlineStr">
        <is>
          <t>Для букв и короткого номера показано «Неверный номер телефона (+998 XX XXX XX XX)», создание недоступно. После корректного номера ошибка исчезает.</t>
        </is>
      </c>
      <c r="H4" s="21" t="inlineStr">
        <is>
          <t>High</t>
        </is>
      </c>
      <c r="I4" s="3" t="inlineStr">
        <is>
          <t>Not Run</t>
        </is>
      </c>
      <c r="J4" s="2" t="inlineStr">
        <is>
          <t>web|negative</t>
        </is>
      </c>
    </row>
    <row r="5" ht="96.39999999999999" customHeight="1">
      <c r="A5" s="3" t="inlineStr">
        <is>
          <t>TC-047</t>
        </is>
      </c>
      <c r="B5" s="2" t="inlineStr">
        <is>
          <t>Web — Пользователи</t>
        </is>
      </c>
      <c r="C5" s="2" t="inlineStr">
        <is>
          <t>РОПы / Операторы</t>
        </is>
      </c>
      <c r="D5" s="2" t="inlineStr">
        <is>
          <t>Одинаковый телефон нельзя выдать двум РОП
Регрессия BUG-007. Система сравнивает только цифры, поэтому номер с пробелами и тот же номер без пробелов должны считаться одним номером.</t>
        </is>
      </c>
      <c r="E5" s="2" t="inlineStr">
        <is>
          <t>На staging уже есть тестовый РОП с телефоном «+998 90 123 45 67». Выполнен вход под супер-админом.</t>
        </is>
      </c>
      <c r="F5" s="2" t="inlineStr">
        <is>
          <t>1. Нажми «Новый РОП».
2. Заполни все поля новыми значениями, но в «Телефон» введи «998901234567» без пробелов.
3. Нажми «Создать».
4. Проверь сообщение и таблицу «Компании РОП».</t>
        </is>
      </c>
      <c r="G5" s="2" t="inlineStr">
        <is>
          <t>Появляется понятная ошибка о том, что телефон уже используется. Второй РОП не создан; в таблице остаётся только один пользователь с этим номером.</t>
        </is>
      </c>
      <c r="H5" s="21" t="inlineStr">
        <is>
          <t>High</t>
        </is>
      </c>
      <c r="I5" s="3" t="inlineStr">
        <is>
          <t>Not Run</t>
        </is>
      </c>
      <c r="J5" s="2" t="inlineStr">
        <is>
          <t>web|negative</t>
        </is>
      </c>
    </row>
    <row r="6" ht="96.39999999999999" customHeight="1">
      <c r="A6" s="3" t="inlineStr">
        <is>
          <t>TC-048</t>
        </is>
      </c>
      <c r="B6" s="2" t="inlineStr">
        <is>
          <t>Web — Пользователи</t>
        </is>
      </c>
      <c r="C6" s="2" t="inlineStr">
        <is>
          <t>РОПы / Операторы</t>
        </is>
      </c>
      <c r="D6" s="2" t="inlineStr">
        <is>
          <t>Одинаковый логин нельзя выдать двум пользователям
Логин — уникальное имя для входа. Если два человека получат одинаковый логин, система не сможет однозначно определить, кто входит.</t>
        </is>
      </c>
      <c r="E6" s="2" t="inlineStr">
        <is>
          <t>На staging существует тестовый пользователь с известным логином. Выполнен вход под супер-админом.</t>
        </is>
      </c>
      <c r="F6" s="2" t="inlineStr">
        <is>
          <t>1. Открой форму «Новый РОП».
2. Заполни все поля уникальными данными, кроме поля «Имя пользователя (логин)».
3. Введи логин уже существующего пользователя.
4. Нажми «Создать».</t>
        </is>
      </c>
      <c r="G6" s="2" t="inlineStr">
        <is>
          <t>Показана ошибка о занятом имени пользователя. Второй пользователь с тем же логином не создаётся.</t>
        </is>
      </c>
      <c r="H6" s="21" t="inlineStr">
        <is>
          <t>High</t>
        </is>
      </c>
      <c r="I6" s="3" t="inlineStr">
        <is>
          <t>Not Run</t>
        </is>
      </c>
      <c r="J6" s="2" t="inlineStr">
        <is>
          <t>web|negative</t>
        </is>
      </c>
    </row>
    <row r="7" ht="109.6" customHeight="1">
      <c r="A7" s="3" t="inlineStr">
        <is>
          <t>TC-049</t>
        </is>
      </c>
      <c r="B7" s="2" t="inlineStr">
        <is>
          <t>Web — Пользователи</t>
        </is>
      </c>
      <c r="C7" s="2" t="inlineStr">
        <is>
          <t>РОПы / Операторы</t>
        </is>
      </c>
      <c r="D7" s="2" t="inlineStr">
        <is>
          <t>Супер-админ редактирует данные РОП
Проверяем изменение контактных данных и названия компании без случайной смены роли или потери подключений.</t>
        </is>
      </c>
      <c r="E7" s="2" t="inlineStr">
        <is>
          <t>Есть отдельный тестовый РОП. Выполнен вход под супер-админом, открыт раздел «РОПы».</t>
        </is>
      </c>
      <c r="F7" s="2" t="inlineStr">
        <is>
          <t>1. В строке тестового РОП нажми значок редактирования с подсказкой «Редактировать».
2. В окне «Редактировать пользователя» измени «Имя», «Фамилия», «Телефон» и «Название компании».
3. Проверь, что поле «Роль» недоступно для ввода.
4. Нажми «Сохранить».
5. Обнови страницу браузера и снова найди этого РОП.</t>
        </is>
      </c>
      <c r="G7" s="2" t="inlineStr">
        <is>
          <t>Появляется «Пользователь сохранён». После обновления видны новые данные; роль осталась «РОП», пользователь не продублировался, его интеграции не исчезли.</t>
        </is>
      </c>
      <c r="H7" s="21" t="inlineStr">
        <is>
          <t>High</t>
        </is>
      </c>
      <c r="I7" s="3" t="inlineStr">
        <is>
          <t>Not Run</t>
        </is>
      </c>
      <c r="J7" s="2" t="inlineStr">
        <is>
          <t>web|positive</t>
        </is>
      </c>
    </row>
    <row r="8" ht="149.2" customHeight="1">
      <c r="A8" s="3" t="inlineStr">
        <is>
          <t>TC-050</t>
        </is>
      </c>
      <c r="B8" s="2" t="inlineStr">
        <is>
          <t>Web — Пользователи</t>
        </is>
      </c>
      <c r="C8" s="2" t="inlineStr">
        <is>
          <t>РОПы / Операторы</t>
        </is>
      </c>
      <c r="D8" s="2" t="inlineStr">
        <is>
          <t>Деактивация РОП действует сразу и сохраняет данные
Проверяем исправление BUG-006. Деактивация похожа на временную блокировку пропуска: данные остаются, но пользоваться системой больше нельзя с первого следующего действия.</t>
        </is>
      </c>
      <c r="E8" s="2" t="inlineStr">
        <is>
          <t>Есть отдельный тестовый РОП. В первом браузере выполнен вход под супер-админом, во втором — под этим РОП; у РОП открыта любая рабочая страница.</t>
        </is>
      </c>
      <c r="F8" s="2" t="inlineStr">
        <is>
          <t>1. В первом браузере в строке РОП нажми действие «Деактивировать».
2. Во втором браузере обнови страницу или открой любой раздел.
3. Проверь, что рабочие данные больше не открываются и показана страница входа либо отказ 401.
4. В первом браузере проверь статус РОП в таблице.
5. Нажми «Активировать».
6. Войди под РОП снова и проверь его компанию и список операторов.</t>
        </is>
      </c>
      <c r="G8" s="2" t="inlineStr">
        <is>
          <t>После деактивации следующий запрос РОП сразу отклонён; ждать 15 минут не требуется. В таблице статус «Неактивен». После активации вход снова работает, компания, операторы и настройки сохранились.</t>
        </is>
      </c>
      <c r="H8" s="20" t="inlineStr">
        <is>
          <t>Critical</t>
        </is>
      </c>
      <c r="I8" s="3" t="inlineStr">
        <is>
          <t>Not Run</t>
        </is>
      </c>
      <c r="J8" s="2" t="inlineStr">
        <is>
          <t>web|positive</t>
        </is>
      </c>
    </row>
    <row r="9" ht="109.6" customHeight="1">
      <c r="A9" s="3" t="inlineStr">
        <is>
          <t>TC-051</t>
        </is>
      </c>
      <c r="B9" s="2" t="inlineStr">
        <is>
          <t>Web — Пользователи</t>
        </is>
      </c>
      <c r="C9" s="2" t="inlineStr">
        <is>
          <t>РОПы / Операторы</t>
        </is>
      </c>
      <c r="D9" s="2" t="inlineStr">
        <is>
          <t>Удаление тестового РОП требует подтверждения
Удаление трудно отменить, поэтому сначала проверяем отмену, затем подтверждаем удаление только для специально созданной тестовой компании.</t>
        </is>
      </c>
      <c r="E9" s="2" t="inlineStr">
        <is>
          <t>На staging создан отдельный РОП без нужных данных и интеграций. Выполнен вход под супер-админом.</t>
        </is>
      </c>
      <c r="F9" s="2" t="inlineStr">
        <is>
          <t>1. В строке тестового РОП нажми значок удаления.
2. В окне «Удалить пользователя» нажми «Отмена».
3. Убедись, что РОП остался в таблице.
4. Снова нажми значок удаления и в окне подтверждения нажми «Удалить».
5. Обнови страницу и найди РОП по названию компании.
6. Попробуй войти под удалённым РОП.</t>
        </is>
      </c>
      <c r="G9" s="2" t="inlineStr">
        <is>
          <t>После «Отмена» ничего не меняется. После подтверждения появляется «Пользователь удалён», строка исчезает, вход удалённой учётной записью невозможен.</t>
        </is>
      </c>
      <c r="H9" s="21" t="inlineStr">
        <is>
          <t>High</t>
        </is>
      </c>
      <c r="I9" s="3" t="inlineStr">
        <is>
          <t>Not Run</t>
        </is>
      </c>
      <c r="J9" s="2" t="inlineStr">
        <is>
          <t>web|positive</t>
        </is>
      </c>
    </row>
    <row r="10" ht="136" customHeight="1">
      <c r="A10" s="3" t="inlineStr">
        <is>
          <t>TC-052</t>
        </is>
      </c>
      <c r="B10" s="2" t="inlineStr">
        <is>
          <t>Web — Пользователи</t>
        </is>
      </c>
      <c r="C10" s="2" t="inlineStr">
        <is>
          <t>РОПы / Операторы</t>
        </is>
      </c>
      <c r="D10" s="2" t="inlineStr">
        <is>
          <t>РОП создаёт оператора с доступным внутренним номером
Внутренний номер — короткий номер сотрудника в OnlinePBX. Он выбирается из списка, чтобы звонки и записи привязывались к правильному оператору.</t>
        </is>
      </c>
      <c r="E10" s="2" t="inlineStr">
        <is>
          <t>Выполнен вход под РОП. Для его компании подключён OnlinePBX; в нём есть свободный включённый внутренний номер. Подготовлены уникальные логин и телефон.</t>
        </is>
      </c>
      <c r="F10" s="2" t="inlineStr">
        <is>
          <t>1. В меню открой «Операторы».
2. Нажми «Новый оператор».
3. Заполни «Имя», «Фамилия», «Телефон», «Пароль» и «Имя пользователя».
4. В поле «PBX extension (внутренний номер)» выбери свободного сотрудника.
5. Введи положительную «Зарплату» и выбери «День зарплаты».
6. Нажми «Создать».
7. Найди оператора в таблице.</t>
        </is>
      </c>
      <c r="G10" s="2" t="inlineStr">
        <is>
          <t>Появляется «Пользователь создан». Оператор виден один раз, имеет статус «Активен» и выбранный внутренний номер. Он может войти в систему.</t>
        </is>
      </c>
      <c r="H10" s="20" t="inlineStr">
        <is>
          <t>Critical</t>
        </is>
      </c>
      <c r="I10" s="3" t="inlineStr">
        <is>
          <t>Not Run</t>
        </is>
      </c>
      <c r="J10" s="2" t="inlineStr">
        <is>
          <t>web|positive</t>
        </is>
      </c>
    </row>
    <row r="11" ht="96.39999999999999" customHeight="1">
      <c r="A11" s="3" t="inlineStr">
        <is>
          <t>TC-053</t>
        </is>
      </c>
      <c r="B11" s="2" t="inlineStr">
        <is>
          <t>Web — Пользователи</t>
        </is>
      </c>
      <c r="C11" s="2" t="inlineStr">
        <is>
          <t>РОПы / Операторы</t>
        </is>
      </c>
      <c r="D11" s="2" t="inlineStr">
        <is>
          <t>Оператор без обязательных данных не создаётся
Проверяем все обязательные поля формы оператора, включая телефонию и оплату труда.</t>
        </is>
      </c>
      <c r="E11" s="2" t="inlineStr">
        <is>
          <t>Выполнен вход под РОП, открыта форма «Создать оператора».</t>
        </is>
      </c>
      <c r="F11" s="2" t="inlineStr">
        <is>
          <t>1. Оставь все поля пустыми.
2. По очереди нажми в каждое поле и затем щёлкни вне него.
3. Посмотри сообщения под полями «Имя», «Фамилия», «Телефон», «Пароль», «Имя пользователя», «PBX extension», «Зарплата» и «День зарплаты».
4. Проверь кнопку «Создать».</t>
        </is>
      </c>
      <c r="G11" s="2" t="inlineStr">
        <is>
          <t>У каждого обязательного поля есть понятная подсказка. Кнопка «Создать» неактивна, пустой оператор в таблице не появляется.</t>
        </is>
      </c>
      <c r="H11" s="21" t="inlineStr">
        <is>
          <t>High</t>
        </is>
      </c>
      <c r="I11" s="3" t="inlineStr">
        <is>
          <t>Not Run</t>
        </is>
      </c>
      <c r="J11" s="2" t="inlineStr">
        <is>
          <t>web|negative</t>
        </is>
      </c>
    </row>
    <row r="12" ht="96.39999999999999" customHeight="1">
      <c r="A12" s="3" t="inlineStr">
        <is>
          <t>TC-054</t>
        </is>
      </c>
      <c r="B12" s="2" t="inlineStr">
        <is>
          <t>Web — Пользователи</t>
        </is>
      </c>
      <c r="C12" s="2" t="inlineStr">
        <is>
          <t>РОПы / Операторы</t>
        </is>
      </c>
      <c r="D12" s="2" t="inlineStr">
        <is>
          <t>Занятый или выключенный внутренний номер выбрать нельзя
Один внутренний номер не должен одновременно принадлежать двум операторам: иначе звонки и записи будут приписаны не тому человеку.</t>
        </is>
      </c>
      <c r="E12" s="2" t="inlineStr">
        <is>
          <t>OnlinePBX подключён. В списке есть один свободный номер, один уже назначенный и один выключенный номер. Выполнен вход под РОП.</t>
        </is>
      </c>
      <c r="F12" s="2" t="inlineStr">
        <is>
          <t>1. Открой «Новый оператор».
2. Раскрой список «PBX extension (внутренний номер)».
3. Найди строку с пометкой «занят».
4. Попробуй выбрать занятую и выключенную строки.
5. Выбери свободный номер.</t>
        </is>
      </c>
      <c r="G12" s="2" t="inlineStr">
        <is>
          <t>Занятый и выключенный номера видны, но недоступны для выбора. Свободный номер выбирается нормально.</t>
        </is>
      </c>
      <c r="H12" s="21" t="inlineStr">
        <is>
          <t>High</t>
        </is>
      </c>
      <c r="I12" s="3" t="inlineStr">
        <is>
          <t>Not Run</t>
        </is>
      </c>
      <c r="J12" s="2" t="inlineStr">
        <is>
          <t>web|negative</t>
        </is>
      </c>
    </row>
    <row r="13" ht="96.39999999999999" customHeight="1">
      <c r="A13" s="3" t="inlineStr">
        <is>
          <t>TC-055</t>
        </is>
      </c>
      <c r="B13" s="2" t="inlineStr">
        <is>
          <t>Web — Пользователи</t>
        </is>
      </c>
      <c r="C13" s="2" t="inlineStr">
        <is>
          <t>РОПы / Операторы</t>
        </is>
      </c>
      <c r="D13" s="2" t="inlineStr">
        <is>
          <t>Без внутреннего номера оператор не создаётся при недоступном OnlinePBX
Если список OnlinePBX загрузить нельзя, система показывает обычное текстовое поле. Даже в этом запасном режиме пустой внутренний номер запрещён.</t>
        </is>
      </c>
      <c r="E13" s="2" t="inlineStr">
        <is>
          <t>На staging временно отсутствует конфигурация OnlinePBX либо тестировщик по согласованию заблокировал запрос списка внутренних номеров. Выполнен вход под РОП.</t>
        </is>
      </c>
      <c r="F13" s="2" t="inlineStr">
        <is>
          <t>1. Открой форму «Создать оператора».
2. Дождись, когда вместо списка появится поле «PBX extension (внутренний номер OnlinePBX, например 100)».
3. Заполни остальные поля, а это поле оставь пустым.
4. Нажми вне поля и проверь форму.</t>
        </is>
      </c>
      <c r="G13" s="2" t="inlineStr">
        <is>
          <t>Показано «PBX extension обязателен», кнопка «Создать» неактивна. Оператор без внутреннего номера не появляется.</t>
        </is>
      </c>
      <c r="H13" s="20" t="inlineStr">
        <is>
          <t>Critical</t>
        </is>
      </c>
      <c r="I13" s="3" t="inlineStr">
        <is>
          <t>Not Run</t>
        </is>
      </c>
      <c r="J13" s="2" t="inlineStr">
        <is>
          <t>web|negative</t>
        </is>
      </c>
    </row>
    <row r="14" ht="96.39999999999999" customHeight="1">
      <c r="A14" s="3" t="inlineStr">
        <is>
          <t>TC-056</t>
        </is>
      </c>
      <c r="B14" s="2" t="inlineStr">
        <is>
          <t>Web — Пользователи</t>
        </is>
      </c>
      <c r="C14" s="2" t="inlineStr">
        <is>
          <t>РОПы / Операторы</t>
        </is>
      </c>
      <c r="D14" s="2" t="inlineStr">
        <is>
          <t>Нулевая и отрицательная зарплата оператора отклоняются
Проверяем границу числового поля. Отрицательная или нулевая зарплата в форме считается незаполненной корректно и не должна сохраняться.</t>
        </is>
      </c>
      <c r="E14" s="2" t="inlineStr">
        <is>
          <t>Открыта форма «Создать оператора», все поля кроме «Зарплата» заполнены корректно.</t>
        </is>
      </c>
      <c r="F14" s="2" t="inlineStr">
        <is>
          <t>1. В поле «Зарплата» введи «-1» и щёлкни вне поля.
2. Проверь сообщение под полем.
3. Замени значение на «0» и снова щёлкни вне поля.
4. Замени значение на положительное целое число, например «1000000».</t>
        </is>
      </c>
      <c r="G14" s="2" t="inlineStr">
        <is>
          <t>Для -1 и 0 показано «Укажите зарплату», создать оператора нельзя. Положительное число принимается без сообщения «Invalid input».</t>
        </is>
      </c>
      <c r="H14" s="22" t="inlineStr">
        <is>
          <t>Medium</t>
        </is>
      </c>
      <c r="I14" s="3" t="inlineStr">
        <is>
          <t>Not Run</t>
        </is>
      </c>
      <c r="J14" s="2" t="inlineStr">
        <is>
          <t>web|boundary</t>
        </is>
      </c>
    </row>
    <row r="15" ht="96.39999999999999" customHeight="1">
      <c r="A15" s="3" t="inlineStr">
        <is>
          <t>TC-057</t>
        </is>
      </c>
      <c r="B15" s="2" t="inlineStr">
        <is>
          <t>Web — Пользователи</t>
        </is>
      </c>
      <c r="C15" s="2" t="inlineStr">
        <is>
          <t>РОПы / Операторы</t>
        </is>
      </c>
      <c r="D15" s="2" t="inlineStr">
        <is>
          <t>Телефон оператора не может повторять телефон другого пользователя
Уникальность телефона действует для всех учётных записей, а форматирование пробелами и скобками не должно обходить проверку.</t>
        </is>
      </c>
      <c r="E15" s="2" t="inlineStr">
        <is>
          <t>Есть пользователь с известным тестовым телефоном. Выполнен вход под РОП, остальные данные нового оператора уникальны.</t>
        </is>
      </c>
      <c r="F15" s="2" t="inlineStr">
        <is>
          <t>1. Открой «Новый оператор» и заполни обязательные поля.
2. В «Телефон» введи номер существующего пользователя в другом оформлении, например со скобками вместо пробелов.
3. Нажми «Создать».</t>
        </is>
      </c>
      <c r="G15" s="2" t="inlineStr">
        <is>
          <t>Показана ошибка, что телефон уже используется. Новый оператор не создан.</t>
        </is>
      </c>
      <c r="H15" s="21" t="inlineStr">
        <is>
          <t>High</t>
        </is>
      </c>
      <c r="I15" s="3" t="inlineStr">
        <is>
          <t>Not Run</t>
        </is>
      </c>
      <c r="J15" s="2" t="inlineStr">
        <is>
          <t>web|negative</t>
        </is>
      </c>
    </row>
    <row r="16" ht="70" customHeight="1">
      <c r="A16" s="3" t="inlineStr">
        <is>
          <t>TC-058</t>
        </is>
      </c>
      <c r="B16" s="2" t="inlineStr">
        <is>
          <t>Web — Пользователи</t>
        </is>
      </c>
      <c r="C16" s="2" t="inlineStr">
        <is>
          <t>РОПы / Операторы</t>
        </is>
      </c>
      <c r="D16" s="2" t="inlineStr">
        <is>
          <t>Логин оператора не может повторять существующий логин
Проверяем уникальность имени для входа среди операторов и РОП.</t>
        </is>
      </c>
      <c r="E16" s="2" t="inlineStr">
        <is>
          <t>Известен логин существующего пользователя. Выполнен вход под РОП.</t>
        </is>
      </c>
      <c r="F16" s="2" t="inlineStr">
        <is>
          <t>1. Открой форму «Создать оператора».
2. Заполни все поля уникальными данными, а в «Имя пользователя» введи занятый логин.
3. Нажми «Создать».</t>
        </is>
      </c>
      <c r="G16" s="2" t="inlineStr">
        <is>
          <t>Показана ошибка о занятом имени пользователя; новая строка не появляется.</t>
        </is>
      </c>
      <c r="H16" s="21" t="inlineStr">
        <is>
          <t>High</t>
        </is>
      </c>
      <c r="I16" s="3" t="inlineStr">
        <is>
          <t>Not Run</t>
        </is>
      </c>
      <c r="J16" s="2" t="inlineStr">
        <is>
          <t>web|negative</t>
        </is>
      </c>
    </row>
    <row r="17" ht="96.39999999999999" customHeight="1">
      <c r="A17" s="3" t="inlineStr">
        <is>
          <t>TC-059</t>
        </is>
      </c>
      <c r="B17" s="2" t="inlineStr">
        <is>
          <t>Web — Пользователи</t>
        </is>
      </c>
      <c r="C17" s="2" t="inlineStr">
        <is>
          <t>РОПы / Операторы</t>
        </is>
      </c>
      <c r="D17" s="2" t="inlineStr">
        <is>
          <t>РОП редактирует данные своего оператора
Проверяем изменение контактных данных, внутреннего номера и оплаты труда. Оператор должен остаться в той же компании и с той же ролью.</t>
        </is>
      </c>
      <c r="E17" s="2" t="inlineStr">
        <is>
          <t>Есть тестовый оператор и второй свободный внутренний номер OnlinePBX. Выполнен вход под его РОП.</t>
        </is>
      </c>
      <c r="F17" s="2" t="inlineStr">
        <is>
          <t>1. В разделе «Операторы» нажми «Редактировать» у тестового оператора.
2. Измени имя, фамилию, телефон, внутренний номер, зарплату и день зарплаты.
3. Проверь, что поле «Роль» недоступно.
4. Нажми «Сохранить».
5. Обнови страницу и снова открой редактирование.</t>
        </is>
      </c>
      <c r="G17" s="2" t="inlineStr">
        <is>
          <t>Показано «Пользователь сохранён». Все изменения сохранились после обновления; роль осталась «Оператор», компания не изменилась.</t>
        </is>
      </c>
      <c r="H17" s="21" t="inlineStr">
        <is>
          <t>High</t>
        </is>
      </c>
      <c r="I17" s="3" t="inlineStr">
        <is>
          <t>Not Run</t>
        </is>
      </c>
      <c r="J17" s="2" t="inlineStr">
        <is>
          <t>web|positive</t>
        </is>
      </c>
    </row>
    <row r="18" ht="96.39999999999999" customHeight="1">
      <c r="A18" s="3" t="inlineStr">
        <is>
          <t>TC-060</t>
        </is>
      </c>
      <c r="B18" s="2" t="inlineStr">
        <is>
          <t>Web — Пользователи</t>
        </is>
      </c>
      <c r="C18" s="2" t="inlineStr">
        <is>
          <t>РОПы / Операторы</t>
        </is>
      </c>
      <c r="D18" s="2" t="inlineStr">
        <is>
          <t>Карточка оператора показывает его актуальные данные
Проверяем экран одного оператора: контакт, онлайн-статус, воронки, внутренний номер, недельные рабочие часы и записи звонков.</t>
        </is>
      </c>
      <c r="E18" s="2" t="inlineStr">
        <is>
          <t>Есть тестовый оператор с назначенной воронкой и хотя бы одной записью звонка. Выполнен вход под его РОП.</t>
        </is>
      </c>
      <c r="F18" s="2" t="inlineStr">
        <is>
          <t>1. Открой раздел «Операторы».
2. Нажми на строку тестового оператора.
3. Сверь имя, статус «Онлайн» или «Оффлайн», подпись «доб. …» и строку «Воронка: …».
4. Проверь блоки «Рабочие часы за неделю», «Сегодняшняя сессия» и «Записи звонков».
5. Вернись назад в список операторов.</t>
        </is>
      </c>
      <c r="G18" s="2" t="inlineStr">
        <is>
          <t>Открылась карточка именно выбранного оператора. Данные совпадают с таблицей и настройками; чужие операторы и чужие звонки не показаны; кнопка возврата работает.</t>
        </is>
      </c>
      <c r="H18" s="22" t="inlineStr">
        <is>
          <t>Medium</t>
        </is>
      </c>
      <c r="I18" s="3" t="inlineStr">
        <is>
          <t>Not Run</t>
        </is>
      </c>
      <c r="J18" s="2" t="inlineStr">
        <is>
          <t>web|positive</t>
        </is>
      </c>
    </row>
    <row r="19" ht="122.8" customHeight="1">
      <c r="A19" s="3" t="inlineStr">
        <is>
          <t>TC-061</t>
        </is>
      </c>
      <c r="B19" s="2" t="inlineStr">
        <is>
          <t>Web — Пользователи</t>
        </is>
      </c>
      <c r="C19" s="2" t="inlineStr">
        <is>
          <t>РОПы / Операторы</t>
        </is>
      </c>
      <c r="D19" s="2" t="inlineStr">
        <is>
          <t>Деактивация оператора действует сразу и не удаляет историю
РОП временно закрывает доступ оператору, но его звонки, рабочие часы и настройки должны сохраниться.</t>
        </is>
      </c>
      <c r="E19" s="2" t="inlineStr">
        <is>
          <t>В одном браузере выполнен вход под РОП, в другом — под отдельным тестовым оператором. У оператора есть история звонков.</t>
        </is>
      </c>
      <c r="F19" s="2" t="inlineStr">
        <is>
          <t>1. Под РОП нажми «Деактивировать» у оператора.
2. Под оператором обнови страницу или открой другой раздел.
3. Проверь, что оператор сразу возвращён на вход или получил отказ.
4. Под РОП открой карточку оператора и проверь историю.
5. Нажми «Активировать», затем снова войди под оператором.</t>
        </is>
      </c>
      <c r="G19" s="2" t="inlineStr">
        <is>
          <t>Доступ прекращается на следующем запросе. История звонков, рабочие часы, внутренний номер и воронки остаются. После активации оператор снова входит.</t>
        </is>
      </c>
      <c r="H19" s="20" t="inlineStr">
        <is>
          <t>Critical</t>
        </is>
      </c>
      <c r="I19" s="3" t="inlineStr">
        <is>
          <t>Not Run</t>
        </is>
      </c>
      <c r="J19" s="2" t="inlineStr">
        <is>
          <t>web|positive</t>
        </is>
      </c>
    </row>
    <row r="20" ht="122.8" customHeight="1">
      <c r="A20" s="3" t="inlineStr">
        <is>
          <t>TC-062</t>
        </is>
      </c>
      <c r="B20" s="2" t="inlineStr">
        <is>
          <t>Web — Пользователи</t>
        </is>
      </c>
      <c r="C20" s="2" t="inlineStr">
        <is>
          <t>РОПы / Операторы</t>
        </is>
      </c>
      <c r="D20" s="2" t="inlineStr">
        <is>
          <t>Очень длинные данные пользователя не ломают форму
Проверяем защиту от случайной вставки огромного текста. Даже если точный предел не задан, приложение не должно зависать, обрезать данные молча или отвечать ошибкой 500.</t>
        </is>
      </c>
      <c r="E20" s="2" t="inlineStr">
        <is>
          <t>Выполнен вход под супер-админом, открыта форма «Создать РОП». Подготовлена строка из 300 букв.</t>
        </is>
      </c>
      <c r="F20" s="2" t="inlineStr">
        <is>
          <t>1. Вставь строку из 300 букв в поле «Имя».
2. Вставь другую строку из 300 символов в «Имя пользователя (логин)».
3. Вставь строку из 300 букв в «Название компании».
4. Остальные поля заполни корректно и попробуй нажать «Создать».
5. Посмотри сообщение и проверь, не появилась ли обрезанная запись.</t>
        </is>
      </c>
      <c r="G20" s="2" t="inlineStr">
        <is>
          <t>Страница не зависает и не показывает внутреннюю ошибку 500. Система либо отклоняет слишком длинное значение с понятным сообщением и указанным пределом, либо сохраняет его целиком; молчаливого обрезания и дубликата нет.</t>
        </is>
      </c>
      <c r="H20" s="22" t="inlineStr">
        <is>
          <t>Medium</t>
        </is>
      </c>
      <c r="I20" s="3" t="inlineStr">
        <is>
          <t>Not Run</t>
        </is>
      </c>
      <c r="J20" s="2" t="inlineStr">
        <is>
          <t>web|boundary</t>
        </is>
      </c>
    </row>
    <row r="21" ht="96.39999999999999" customHeight="1">
      <c r="A21" s="3" t="inlineStr">
        <is>
          <t>TC-063</t>
        </is>
      </c>
      <c r="B21" s="2" t="inlineStr">
        <is>
          <t>Web — Пользователи</t>
        </is>
      </c>
      <c r="C21" s="2" t="inlineStr">
        <is>
          <t>РОПы / Операторы</t>
        </is>
      </c>
      <c r="D21" s="2" t="inlineStr">
        <is>
          <t>Повторное нажатие «Создать» не дублирует пользователя
Медленная сеть может заставить человека нажать кнопку несколько раз. Один запрос пользователя должен создать только одну учётную запись.</t>
        </is>
      </c>
      <c r="E21" s="2" t="inlineStr">
        <is>
          <t>Выполнен вход под РОП. Открыта заполненная корректными уникальными данными форма «Создать оператора». В инструментах браузера включена медленная сеть.</t>
        </is>
      </c>
      <c r="F21" s="2" t="inlineStr">
        <is>
          <t>1. Быстро дважды нажми кнопку «Создать».
2. Дождись окончания загрузки, не обновляя страницу.
3. Найди оператора по логину и телефону.
4. Обнови страницу и проверь список ещё раз.</t>
        </is>
      </c>
      <c r="G21" s="2" t="inlineStr">
        <is>
          <t>Кнопка блокируется после первого нажатия. Создан ровно один оператор; нет двух строк, двух сообщений об успехе или ошибки из-за второго запроса.</t>
        </is>
      </c>
      <c r="H21" s="21" t="inlineStr">
        <is>
          <t>High</t>
        </is>
      </c>
      <c r="I21" s="3" t="inlineStr">
        <is>
          <t>Not Run</t>
        </is>
      </c>
      <c r="J21" s="2" t="inlineStr">
        <is>
          <t>web|negative</t>
        </is>
      </c>
    </row>
    <row r="22" ht="109.6" customHeight="1">
      <c r="A22" s="3" t="inlineStr">
        <is>
          <t>TC-064</t>
        </is>
      </c>
      <c r="B22" s="2" t="inlineStr">
        <is>
          <t>Web — Пользователи</t>
        </is>
      </c>
      <c r="C22" s="2" t="inlineStr">
        <is>
          <t>РОПы / Операторы</t>
        </is>
      </c>
      <c r="D22" s="2" t="inlineStr">
        <is>
          <t>Потеря сети при создании пользователя не создаёт «призрак»
Если связь пропала во время сохранения, интерфейс должен честно показать ошибку, а повторная попытка после восстановления не должна дать дубликат.</t>
        </is>
      </c>
      <c r="E22" s="2" t="inlineStr">
        <is>
          <t>Выполнен вход под супер-админом. Форма «Создать РОП» заполнена уникальными тестовыми данными.</t>
        </is>
      </c>
      <c r="F22" s="2" t="inlineStr">
        <is>
          <t>1. В инструментах браузера включи режим Offline (без сети).
2. Нажми «Создать».
3. Проверь сообщение об ошибке и то, что форма не закрылась бесследно.
4. Верни сеть в режим Online.
5. Нажми «Создать» один раз и дождись результата.
6. Обнови таблицу и найди пользователя по логину.</t>
        </is>
      </c>
      <c r="G22" s="2" t="inlineStr">
        <is>
          <t>Без сети показана ошибка создания, ложного сообщения об успехе нет. После восстановления создаётся ровно один РОП, введённые данные не превращаются в дубликаты.</t>
        </is>
      </c>
      <c r="H22" s="21" t="inlineStr">
        <is>
          <t>High</t>
        </is>
      </c>
      <c r="I22" s="3" t="inlineStr">
        <is>
          <t>Not Run</t>
        </is>
      </c>
      <c r="J22" s="2" t="inlineStr">
        <is>
          <t>web|negative</t>
        </is>
      </c>
    </row>
  </sheetData>
  <autoFilter ref="A1:J22"/>
  <conditionalFormatting sqref="I2:I52">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2" showDropDown="0" showInputMessage="0" showErrorMessage="0" allowBlank="1" errorTitle="Недопустимое значение" error="Выбери значение из списка: Critical, High, Medium, Low" type="list">
      <formula1>"Critical,High,Medium,Low"</formula1>
    </dataValidation>
    <dataValidation sqref="I2:I52"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TC-065</t>
        </is>
      </c>
      <c r="B2" s="2" t="inlineStr">
        <is>
          <t>Web/API — Лиды и статусы</t>
        </is>
      </c>
      <c r="C2" s="2" t="inlineStr">
        <is>
          <t>Лиды / Жизненный цикл</t>
        </is>
      </c>
      <c r="D2" s="2" t="inlineStr">
        <is>
          <t>Таблица рабочих лидов показывает статус и историю попыток
Рабочий лид — это сделка из AmoCRM, а не заявка с лендинга в меню супер-админа. Проверяем основные данные, по которым оператор понимает, кому уже звонили.</t>
        </is>
      </c>
      <c r="E2" s="2" t="inlineStr">
        <is>
          <t>Выполнен вход под оператором. Ему назначена тестовая воронка; в ней есть лид, по которому уже выполнялся звонок через Operator AI.</t>
        </is>
      </c>
      <c r="F2" s="2" t="inlineStr">
        <is>
          <t>1. В меню открой «Звонки».
2. Найди тестовый лид по названию сделки.
3. Сверь колонки «Название сделки», «Статус», «Попытки», «Последний звонок» и «Действие».
4. Нажми на строку лида.
5. Проверь блок «Данные сделки» и список связанных звонков.</t>
        </is>
      </c>
      <c r="G2" s="2" t="inlineStr">
        <is>
          <t>В строке показаны актуальный узбекский статус, число попыток и время последнего звонка. Карточка относится к тому же лиду; данные чужих воронок не показаны.</t>
        </is>
      </c>
      <c r="H2" s="21" t="inlineStr">
        <is>
          <t>High</t>
        </is>
      </c>
      <c r="I2" s="3" t="inlineStr">
        <is>
          <t>Not Run</t>
        </is>
      </c>
      <c r="J2" s="2" t="inlineStr">
        <is>
          <t>web|positive</t>
        </is>
      </c>
    </row>
    <row r="3" ht="96.39999999999999" customHeight="1">
      <c r="A3" s="3" t="inlineStr">
        <is>
          <t>TC-066</t>
        </is>
      </c>
      <c r="B3" s="2" t="inlineStr">
        <is>
          <t>Web/API — Лиды и статусы</t>
        </is>
      </c>
      <c r="C3" s="2" t="inlineStr">
        <is>
          <t>Лиды / Жизненный цикл</t>
        </is>
      </c>
      <c r="D3" s="2" t="inlineStr">
        <is>
          <t>Все варианты апострофа распознаются как Ko'tarmadi
Название «Ko'tarmadi» означает «не поднял трубку». Система удаляет разные виды апострофа, поэтому одинаковый смысл не должен зависеть от раскладки клавиатуры.</t>
        </is>
      </c>
      <c r="E3" s="2" t="inlineStr">
        <is>
          <t>В тестовой воронке созданы статусы `Ko'tarmadi`, `Ko’tarmadi`, `Koʻtarmadi`, `Koʼtarmadi` и `Kotarmadi`; в каждом — по одному тестовому лиду без прошлых попыток. Других доступных лидов у оператора нет.</t>
        </is>
      </c>
      <c r="F3" s="2" t="inlineStr">
        <is>
          <t>1. Войди под оператором после начала рабочего дня.
2. Открой «Обзвон» и нажми «Начать обзвон».
3. Для каждого выданного лида сразу нажимай «Пауза», затем «Пропустить», чтобы не звонить.
4. Повторяй, пока проверишь все пять лидов.</t>
        </is>
      </c>
      <c r="G3" s="2" t="inlineStr">
        <is>
          <t>Все пять лидов попадают в очередь как один класс «Не поднял трубку». Ни один вариант апострофа не пропадает.</t>
        </is>
      </c>
      <c r="H3" s="21" t="inlineStr">
        <is>
          <t>High</t>
        </is>
      </c>
      <c r="I3" s="3" t="inlineStr">
        <is>
          <t>Not Run</t>
        </is>
      </c>
      <c r="J3" s="2" t="inlineStr">
        <is>
          <t>web|boundary</t>
        </is>
      </c>
    </row>
    <row r="4" ht="96.39999999999999" customHeight="1">
      <c r="A4" s="3" t="inlineStr">
        <is>
          <t>TC-067</t>
        </is>
      </c>
      <c r="B4" s="2" t="inlineStr">
        <is>
          <t>Web/API — Лиды и статусы</t>
        </is>
      </c>
      <c r="C4" s="2" t="inlineStr">
        <is>
          <t>Лиды / Жизненный цикл</t>
        </is>
      </c>
      <c r="D4" s="2" t="inlineStr">
        <is>
          <t>Статус со словом Chala попадает в очередь
Слово `chala` означает незавершённый разговор. Статус может содержать дополнительные слова, но система должна узнать его по ключевому слову.</t>
        </is>
      </c>
      <c r="E4" s="2" t="inlineStr">
        <is>
          <t>В назначенной оператору тестовой воронке есть единственный лид в статусе «Chala gaplashdi — qayta aloqa», прошлых звонков у лида нет.</t>
        </is>
      </c>
      <c r="F4" s="2" t="inlineStr">
        <is>
          <t>1. Войди под оператором и открой «Обзвон».
2. Нажми «Начать обзвон».
3. До окончания таймера нажми «Пауза».
4. Сверь название выданного лида и нажми «Пропустить».</t>
        </is>
      </c>
      <c r="G4" s="2" t="inlineStr">
        <is>
          <t>Выдан именно подготовленный лид. Система распознала слово `Chala` внутри более длинного названия.</t>
        </is>
      </c>
      <c r="H4" s="21" t="inlineStr">
        <is>
          <t>High</t>
        </is>
      </c>
      <c r="I4" s="3" t="inlineStr">
        <is>
          <t>Not Run</t>
        </is>
      </c>
      <c r="J4" s="2" t="inlineStr">
        <is>
          <t>web|positive</t>
        </is>
      </c>
    </row>
    <row r="5" ht="96.39999999999999" customHeight="1">
      <c r="A5" s="3" t="inlineStr">
        <is>
          <t>TC-068</t>
        </is>
      </c>
      <c r="B5" s="2" t="inlineStr">
        <is>
          <t>Web/API — Лиды и статусы</t>
        </is>
      </c>
      <c r="C5" s="2" t="inlineStr">
        <is>
          <t>Лиды / Жизненный цикл</t>
        </is>
      </c>
      <c r="D5" s="2" t="inlineStr">
        <is>
          <t>Keyingi qo'ng'iroq требует оба слова и наступившее время
Статус повторного звонка распознаётся только при наличии обоих слов `keyingi` и `qongiroq`; лид доступен, когда согласованное время уже наступило.</t>
        </is>
      </c>
      <c r="E5" s="2" t="inlineStr">
        <is>
          <t>Есть один лид со статусом «Keyingi qo'ng'iroq vaqti» и временем следующего звонка на 5 минут раньше текущего. Других лидов в очереди нет.</t>
        </is>
      </c>
      <c r="F5" s="2" t="inlineStr">
        <is>
          <t>1. Открой «Обзвон» под назначенным оператором.
2. Проверь число лидов в очереди.
3. Нажми «Начать обзвон», сразу нажми «Пауза».
4. Сверь название лида и нажми «Пропустить».</t>
        </is>
      </c>
      <c r="G5" s="2" t="inlineStr">
        <is>
          <t>Лид присутствует в очереди и выдаётся оператору, потому что оба ключевых слова есть, а время звонка уже наступило.</t>
        </is>
      </c>
      <c r="H5" s="20" t="inlineStr">
        <is>
          <t>Critical</t>
        </is>
      </c>
      <c r="I5" s="3" t="inlineStr">
        <is>
          <t>Not Run</t>
        </is>
      </c>
      <c r="J5" s="2" t="inlineStr">
        <is>
          <t>web|positive</t>
        </is>
      </c>
    </row>
    <row r="6" ht="109.6" customHeight="1">
      <c r="A6" s="3" t="inlineStr">
        <is>
          <t>TC-069</t>
        </is>
      </c>
      <c r="B6" s="2" t="inlineStr">
        <is>
          <t>Web/API — Лиды и статусы</t>
        </is>
      </c>
      <c r="C6" s="2" t="inlineStr">
        <is>
          <t>Лиды / Жизненный цикл</t>
        </is>
      </c>
      <c r="D6" s="2" t="inlineStr">
        <is>
          <t>Keyingi qo'ng'iroq без времени не выдаётся
Негативный сценарий: одного названия статуса недостаточно. Без конкретного времени система не знает, когда звонить, поэтому такой лид молча выпадает из очереди.</t>
        </is>
      </c>
      <c r="E6" s="2" t="inlineStr">
        <is>
          <t>В тестовой воронке есть единственный лид в статусе «Keyingi qo'ng'iroq vaqti», поле следующего звонка пустое.</t>
        </is>
      </c>
      <c r="F6" s="2" t="inlineStr">
        <is>
          <t>1. Войди под назначенным оператором.
2. Открой раздел «Обзвон».
3. Посмотри счётчик «лидов в очереди».
4. Нажми «Начать обзвон».</t>
        </is>
      </c>
      <c r="G6" s="2" t="inlineStr">
        <is>
          <t>Счётчик равен нулю, подготовленный лид не выдаётся. Показано сообщение «Очередь пуста», а звонок не начинается.</t>
        </is>
      </c>
      <c r="H6" s="20" t="inlineStr">
        <is>
          <t>Critical</t>
        </is>
      </c>
      <c r="I6" s="3" t="inlineStr">
        <is>
          <t>Not Run</t>
        </is>
      </c>
      <c r="J6" s="2" t="inlineStr">
        <is>
          <t>web|negative</t>
        </is>
      </c>
    </row>
    <row r="7" ht="96.39999999999999" customHeight="1">
      <c r="A7" s="3" t="inlineStr">
        <is>
          <t>TC-070</t>
        </is>
      </c>
      <c r="B7" s="2" t="inlineStr">
        <is>
          <t>Web/API — Лиды и статусы</t>
        </is>
      </c>
      <c r="C7" s="2" t="inlineStr">
        <is>
          <t>Лиды / Жизненный цикл</t>
        </is>
      </c>
      <c r="D7" s="2" t="inlineStr">
        <is>
          <t>Bugun keladi без времени прихода доступен с начала дня
Если клиент обещал прийти сегодня, но час не указан, очередь использует параметр «Начало рабочего дня» (по умолчанию 08:00 по Ташкенту).</t>
        </is>
      </c>
      <c r="E7" s="2" t="inlineStr">
        <is>
          <t>Проверка выполняется после времени «Начало рабочего дня». Есть единственный лид в статусе «Bugun keladi», поле `call vaqti` пустое.</t>
        </is>
      </c>
      <c r="F7" s="2" t="inlineStr">
        <is>
          <t>1. Войди под назначенным оператором после начала рабочего дня.
2. Открой «Обзвон» и нажми «Начать обзвон».
3. Сразу нажми «Пауза» и сверь название лида.
4. Нажми «Пропустить».</t>
        </is>
      </c>
      <c r="G7" s="2" t="inlineStr">
        <is>
          <t>Лид выдан оператору. Пустое время прихода не блокирует его после начала рабочего дня.</t>
        </is>
      </c>
      <c r="H7" s="21" t="inlineStr">
        <is>
          <t>High</t>
        </is>
      </c>
      <c r="I7" s="3" t="inlineStr">
        <is>
          <t>Not Run</t>
        </is>
      </c>
      <c r="J7" s="2" t="inlineStr">
        <is>
          <t>web|positive</t>
        </is>
      </c>
    </row>
    <row r="8" ht="96.39999999999999" customHeight="1">
      <c r="A8" s="3" t="inlineStr">
        <is>
          <t>TC-071</t>
        </is>
      </c>
      <c r="B8" s="2" t="inlineStr">
        <is>
          <t>Web/API — Лиды и статусы</t>
        </is>
      </c>
      <c r="C8" s="2" t="inlineStr">
        <is>
          <t>Лиды / Жизненный цикл</t>
        </is>
      </c>
      <c r="D8" s="2" t="inlineStr">
        <is>
          <t>Bugun keladi появляется ровно за заданное время до прихода
Проверяем границу параметра «Время звонка перед приходом». При значении 60 минут лид не должен появиться раньше, но должен стать доступен на границе.</t>
        </is>
      </c>
      <c r="E8" s="2" t="inlineStr">
        <is>
          <t>Параметр равен 60 минут. Есть лид «Bugun keladi» с полем `call vaqti` на сегодня. Тестировщик может менять тестовое время прихода.</t>
        </is>
      </c>
      <c r="F8" s="2" t="inlineStr">
        <is>
          <t>1. Установи время прихода на 61 минуту позже текущего и обнови «Обзвон».
2. Проверь, что лида нет в очереди.
3. Измени время прихода на 60 минут позже текущего и дождись синхронизации.
4. Обнови «Обзвон» и нажми «Начать обзвон».
5. Поставь таймер на паузу и сверь лида.</t>
        </is>
      </c>
      <c r="G8" s="2" t="inlineStr">
        <is>
          <t>За 61 минуту лид ещё не выдаётся. На границе 60 минут он появляется и может быть взят в работу.</t>
        </is>
      </c>
      <c r="H8" s="20" t="inlineStr">
        <is>
          <t>Critical</t>
        </is>
      </c>
      <c r="I8" s="3" t="inlineStr">
        <is>
          <t>Not Run</t>
        </is>
      </c>
      <c r="J8" s="2" t="inlineStr">
        <is>
          <t>web|boundary</t>
        </is>
      </c>
    </row>
    <row r="9" ht="96.39999999999999" customHeight="1">
      <c r="A9" s="3" t="inlineStr">
        <is>
          <t>TC-072</t>
        </is>
      </c>
      <c r="B9" s="2" t="inlineStr">
        <is>
          <t>Web/API — Лиды и статусы</t>
        </is>
      </c>
      <c r="C9" s="2" t="inlineStr">
        <is>
          <t>Лиды / Жизненный цикл</t>
        </is>
      </c>
      <c r="D9" s="2" t="inlineStr">
        <is>
          <t>Uchrashuv до дня встречи не попадает в обзвон
Статус `Uchrashuv` означает, что встреча назначена на будущий день. Звонить сейчас не нужно, поэтому этот класс находится вне очереди.</t>
        </is>
      </c>
      <c r="E9" s="2" t="inlineStr">
        <is>
          <t>Есть единственный лид в статусе «Uchrashuv vaqti» с датой встречи завтра.</t>
        </is>
      </c>
      <c r="F9" s="2" t="inlineStr">
        <is>
          <t>1. Войди под назначенным оператором.
2. Открой «Обзвон».
3. Проверь число лидов и нажми «Начать обзвон».</t>
        </is>
      </c>
      <c r="G9" s="2" t="inlineStr">
        <is>
          <t>Подготовленный лид не выдаётся; очередь пуста.</t>
        </is>
      </c>
      <c r="H9" s="21" t="inlineStr">
        <is>
          <t>High</t>
        </is>
      </c>
      <c r="I9" s="3" t="inlineStr">
        <is>
          <t>Not Run</t>
        </is>
      </c>
      <c r="J9" s="2" t="inlineStr">
        <is>
          <t>web|negative</t>
        </is>
      </c>
    </row>
    <row r="10" ht="70" customHeight="1">
      <c r="A10" s="3" t="inlineStr">
        <is>
          <t>TC-073</t>
        </is>
      </c>
      <c r="B10" s="2" t="inlineStr">
        <is>
          <t>Web/API — Лиды и статусы</t>
        </is>
      </c>
      <c r="C10" s="2" t="inlineStr">
        <is>
          <t>Лиды / Жизненный цикл</t>
        </is>
      </c>
      <c r="D10" s="2" t="inlineStr">
        <is>
          <t>Markazga keldi не попадает в обзвон
Статус означает, что клиент уже пришёл в центр. Автоматически звонить ему больше не нужно.</t>
        </is>
      </c>
      <c r="E10" s="2" t="inlineStr">
        <is>
          <t>Есть единственный лид в статусе «Markazga keldi».</t>
        </is>
      </c>
      <c r="F10" s="2" t="inlineStr">
        <is>
          <t>1. Открой «Обзвон» под назначенным оператором.
2. Проверь счётчик очереди.
3. Нажми «Начать обзвон».</t>
        </is>
      </c>
      <c r="G10" s="2" t="inlineStr">
        <is>
          <t>Лид не находится в очереди и не выдаётся оператору.</t>
        </is>
      </c>
      <c r="H10" s="21" t="inlineStr">
        <is>
          <t>High</t>
        </is>
      </c>
      <c r="I10" s="3" t="inlineStr">
        <is>
          <t>Not Run</t>
        </is>
      </c>
      <c r="J10" s="2" t="inlineStr">
        <is>
          <t>web|positive</t>
        </is>
      </c>
    </row>
    <row r="11" ht="70" customHeight="1">
      <c r="A11" s="3" t="inlineStr">
        <is>
          <t>TC-074</t>
        </is>
      </c>
      <c r="B11" s="2" t="inlineStr">
        <is>
          <t>Web/API — Лиды и статусы</t>
        </is>
      </c>
      <c r="C11" s="2" t="inlineStr">
        <is>
          <t>Лиды / Жизненный цикл</t>
        </is>
      </c>
      <c r="D11" s="2" t="inlineStr">
        <is>
          <t>Sifatsiz не возвращается в обзвон
Sifatsiz — официально отбракованный лид. После такого статуса система не должна снова звонить клиенту.</t>
        </is>
      </c>
      <c r="E11" s="2" t="inlineStr">
        <is>
          <t>Есть единственный лид в статусе «Sifatsiz», блокировок и будущего времени звонка нет.</t>
        </is>
      </c>
      <c r="F11" s="2" t="inlineStr">
        <is>
          <t>1. Войди под оператором и открой «Обзвон».
2. Проверь число лидов в очереди.
3. Нажми «Начать обзвон».</t>
        </is>
      </c>
      <c r="G11" s="2" t="inlineStr">
        <is>
          <t>Лид не выдаётся ни при каких временных настройках; очередь пуста.</t>
        </is>
      </c>
      <c r="H11" s="20" t="inlineStr">
        <is>
          <t>Critical</t>
        </is>
      </c>
      <c r="I11" s="3" t="inlineStr">
        <is>
          <t>Not Run</t>
        </is>
      </c>
      <c r="J11" s="2" t="inlineStr">
        <is>
          <t>web|positive</t>
        </is>
      </c>
    </row>
    <row r="12" ht="70" customHeight="1">
      <c r="A12" s="3" t="inlineStr">
        <is>
          <t>TC-075</t>
        </is>
      </c>
      <c r="B12" s="2" t="inlineStr">
        <is>
          <t>Web/API — Лиды и статусы</t>
        </is>
      </c>
      <c r="C12" s="2" t="inlineStr">
        <is>
          <t>Лиды / Жизненный цикл</t>
        </is>
      </c>
      <c r="D12" s="2" t="inlineStr">
        <is>
          <t>Yangi lid доступен сразу
Новый лид имеет самый низкий приоритет, но при отсутствии более срочных лидов должен попасть оператору без задержки.</t>
        </is>
      </c>
      <c r="E12" s="2" t="inlineStr">
        <is>
          <t>Есть единственный новый лид в статусе «Yangi lid», воронка назначена оператору.</t>
        </is>
      </c>
      <c r="F12" s="2" t="inlineStr">
        <is>
          <t>1. Открой «Обзвон».
2. Нажми «Начать обзвон».
3. Сразу нажми «Пауза».
4. Сверь название лида и нажми «Пропустить».</t>
        </is>
      </c>
      <c r="G12" s="2" t="inlineStr">
        <is>
          <t>Новый лид сразу отображается в очереди и выдаётся оператору.</t>
        </is>
      </c>
      <c r="H12" s="20" t="inlineStr">
        <is>
          <t>Critical</t>
        </is>
      </c>
      <c r="I12" s="3" t="inlineStr">
        <is>
          <t>Not Run</t>
        </is>
      </c>
      <c r="J12" s="2" t="inlineStr">
        <is>
          <t>web|positive</t>
        </is>
      </c>
    </row>
    <row r="13" ht="96.39999999999999" customHeight="1">
      <c r="A13" s="3" t="inlineStr">
        <is>
          <t>TC-076</t>
        </is>
      </c>
      <c r="B13" s="2" t="inlineStr">
        <is>
          <t>Web/API — Лиды и статусы</t>
        </is>
      </c>
      <c r="C13" s="2" t="inlineStr">
        <is>
          <t>Лиды / Жизненный цикл</t>
        </is>
      </c>
      <c r="D13" s="2" t="inlineStr">
        <is>
          <t>Неизвестный или пустой статус безопасно исключается
Если название не содержит известного ключевого слова, система выбирает безопасный вариант: не звонит автоматически по непонятному этапу.</t>
        </is>
      </c>
      <c r="E13" s="2" t="inlineStr">
        <is>
          <t>Есть два тестовых лида: один со статусом «Ожидает документов», второй без связанного локального статуса. Других лидов у оператора нет.</t>
        </is>
      </c>
      <c r="F13" s="2" t="inlineStr">
        <is>
          <t>1. Дождись синхронизации лидов.
2. Открой «Обзвон» под назначенным оператором.
3. Проверь счётчик и нажми «Начать обзвон».</t>
        </is>
      </c>
      <c r="G13" s="2" t="inlineStr">
        <is>
          <t>Оба лида исключены из очереди. Нет случайного звонка и внутренней ошибки.</t>
        </is>
      </c>
      <c r="H13" s="21" t="inlineStr">
        <is>
          <t>High</t>
        </is>
      </c>
      <c r="I13" s="3" t="inlineStr">
        <is>
          <t>Not Run</t>
        </is>
      </c>
      <c r="J13" s="2" t="inlineStr">
        <is>
          <t>web|negative</t>
        </is>
      </c>
    </row>
    <row r="14" ht="83.19999999999999" customHeight="1">
      <c r="A14" s="3" t="inlineStr">
        <is>
          <t>TC-077</t>
        </is>
      </c>
      <c r="B14" s="2" t="inlineStr">
        <is>
          <t>Web/API — Лиды и статусы</t>
        </is>
      </c>
      <c r="C14" s="2" t="inlineStr">
        <is>
          <t>Лиды / Жизненный цикл</t>
        </is>
      </c>
      <c r="D14" s="2" t="inlineStr">
        <is>
          <t>В смешанном названии Bugun важнее Yangi
Ключевые слова проверяются по порядку. В названии «Yangi lid — bugun keladi» побеждает `bugun`, поэтому применяются правила прихода сегодня.</t>
        </is>
      </c>
      <c r="E14" s="2" t="inlineStr">
        <is>
          <t>Есть лид со статусом «Yangi lid — bugun keladi» и `call vaqti` через 2 часа. Параметр звонка перед приходом равен 60 минут.</t>
        </is>
      </c>
      <c r="F14" s="2" t="inlineStr">
        <is>
          <t>1. Открой «Обзвон» за 2 часа до времени прихода.
2. Проверь, что лид не выдан как обычный новый.
3. Измени время прихода так, чтобы до него осталось 60 минут, и дождись синхронизации.
4. Обнови очередь.</t>
        </is>
      </c>
      <c r="G14" s="2" t="inlineStr">
        <is>
          <t>Сначала лида нет. На границе он появляется по правилу «Bugun keladi». Система не применяет более поздний класс «Yangi».</t>
        </is>
      </c>
      <c r="H14" s="21" t="inlineStr">
        <is>
          <t>High</t>
        </is>
      </c>
      <c r="I14" s="3" t="inlineStr">
        <is>
          <t>Not Run</t>
        </is>
      </c>
      <c r="J14" s="2" t="inlineStr">
        <is>
          <t>web|boundary</t>
        </is>
      </c>
    </row>
    <row r="15" ht="96.39999999999999" customHeight="1">
      <c r="A15" s="3" t="inlineStr">
        <is>
          <t>TC-078</t>
        </is>
      </c>
      <c r="B15" s="2" t="inlineStr">
        <is>
          <t>Web/API — Лиды и статусы</t>
        </is>
      </c>
      <c r="C15" s="2" t="inlineStr">
        <is>
          <t>Лиды / Жизненный цикл</t>
        </is>
      </c>
      <c r="D15" s="2" t="inlineStr">
        <is>
          <t>Markazga kelmadi не должен ошибочно означать «пришёл»
Слово `kelmadi` означает «не пришёл», но текущий поиск по подстроке видит `markaz`. Это проверка противоположного смысла и кандидат в дефект классификации.</t>
        </is>
      </c>
      <c r="E15" s="2" t="inlineStr">
        <is>
          <t>Есть единственный лид со статусом «Markazga kelmadi» — клиент не пришёл в центр.</t>
        </is>
      </c>
      <c r="F15" s="2" t="inlineStr">
        <is>
          <t>1. Открой список «Звонки» и найди подготовленного лида.
2. Открой «Обзвон» и проверь, может ли система продолжить работу с этим лидом.
3. Запиши показанный статус и состояние очереди.</t>
        </is>
      </c>
      <c r="G15" s="2" t="inlineStr">
        <is>
          <t>Система не должна считать клиента пришедшим только из-за слова `markaz`. Если лид исключён как «Markazga keldi», зафиксировать дефект: смысл статуса распознан наоборот.</t>
        </is>
      </c>
      <c r="H15" s="20" t="inlineStr">
        <is>
          <t>Critical</t>
        </is>
      </c>
      <c r="I15" s="3" t="inlineStr">
        <is>
          <t>Not Run</t>
        </is>
      </c>
      <c r="J15" s="2" t="inlineStr">
        <is>
          <t>web|negative</t>
        </is>
      </c>
    </row>
    <row r="16" ht="96.39999999999999" customHeight="1">
      <c r="A16" s="3" t="inlineStr">
        <is>
          <t>TC-079</t>
        </is>
      </c>
      <c r="B16" s="2" t="inlineStr">
        <is>
          <t>Web/API — Лиды и статусы</t>
        </is>
      </c>
      <c r="C16" s="2" t="inlineStr">
        <is>
          <t>Лиды / Жизненный цикл</t>
        </is>
      </c>
      <c r="D16" s="2" t="inlineStr">
        <is>
          <t>Длинное название статуса не ломает распознавание
Проверяем статус с большим пояснением. Ключевое слово может находиться в конце, но сервер не должен зависнуть или потерять лид.</t>
        </is>
      </c>
      <c r="E16" s="2" t="inlineStr">
        <is>
          <t>В тестовой AmoCRM создано допустимое ею длинное название примерно из 200 символов, которое заканчивается словами «Yangi lid». В этом статусе один лид.</t>
        </is>
      </c>
      <c r="F16" s="2" t="inlineStr">
        <is>
          <t>1. Запусти синхронизацию воронки и дождись её окончания.
2. Открой список «Звонки» и убедись, что длинное название отображается без поломки страницы.
3. Открой «Обзвон» и возьми следующего лида.
4. Поставь таймер на паузу и сверь лида.</t>
        </is>
      </c>
      <c r="G16" s="2" t="inlineStr">
        <is>
          <t>Интерфейс остаётся рабочим, текст не перекрывает кнопки. Лид распознан как `Yangi` по ключевому слову в конце и выдаётся один раз.</t>
        </is>
      </c>
      <c r="H16" s="22" t="inlineStr">
        <is>
          <t>Medium</t>
        </is>
      </c>
      <c r="I16" s="3" t="inlineStr">
        <is>
          <t>Not Run</t>
        </is>
      </c>
      <c r="J16" s="2" t="inlineStr">
        <is>
          <t>web|boundary</t>
        </is>
      </c>
    </row>
    <row r="17" ht="96.39999999999999" customHeight="1">
      <c r="A17" s="3" t="inlineStr">
        <is>
          <t>TC-080</t>
        </is>
      </c>
      <c r="B17" s="2" t="inlineStr">
        <is>
          <t>Web/API — Лиды и статусы</t>
        </is>
      </c>
      <c r="C17" s="2" t="inlineStr">
        <is>
          <t>Лиды / Жизненный цикл</t>
        </is>
      </c>
      <c r="D17" s="2" t="inlineStr">
        <is>
          <t>Только точное имя поля call vaqti задаёт время прихода
Дата прихода ищется по имени поля, а не по похожему смыслу. Сравниваем правильное `call vaqti` и похожее `call vaqti izoh`.</t>
        </is>
      </c>
      <c r="E17" s="2" t="inlineStr">
        <is>
          <t>Есть два лида «Bugun keladi». У первого заполнено поле `call vaqti`, у второго — только похожее поле `call vaqti izoh`; значения стоят на 2 часа позже текущего времени.</t>
        </is>
      </c>
      <c r="F17" s="2" t="inlineStr">
        <is>
          <t>1. Дождись синхронизации обоих лидов.
2. Открой «Обзвон» при параметре «Время звонка перед приходом» = 60 минут.
3. Проверь, какой из двух лидов доступен сразу.
4. Через API карточки либо с помощью разработчика сверяй поле `arrival_at` у обоих лидов.</t>
        </is>
      </c>
      <c r="G17" s="2" t="inlineStr">
        <is>
          <t>У первого лида `arrival_at` заполнено, и он ждёт границы 60 минут. У второго `arrival_at` пустое: похожее имя проигнорировано, поэтому после начала рабочего дня он доступен как лид без указанного часа. Ошибки нет.</t>
        </is>
      </c>
      <c r="H17" s="21" t="inlineStr">
        <is>
          <t>High</t>
        </is>
      </c>
      <c r="I17" s="3" t="inlineStr">
        <is>
          <t>Not Run</t>
        </is>
      </c>
      <c r="J17" s="2" t="inlineStr">
        <is>
          <t>web|api|negative</t>
        </is>
      </c>
    </row>
    <row r="18" ht="96.39999999999999" customHeight="1">
      <c r="A18" s="3" t="inlineStr">
        <is>
          <t>TC-081</t>
        </is>
      </c>
      <c r="B18" s="2" t="inlineStr">
        <is>
          <t>Web/API — Лиды и статусы</t>
        </is>
      </c>
      <c r="C18" s="2" t="inlineStr">
        <is>
          <t>Лиды / Жизненный цикл</t>
        </is>
      </c>
      <c r="D18" s="2" t="inlineStr">
        <is>
          <t>Только точное имя поля uchrashuv vaqti задаёт дату встречи
Сравниваем правильное поле встречи и похожее имя. Ошибка в названии не должна случайно запускать автоматический переход.</t>
        </is>
      </c>
      <c r="E18" s="2" t="inlineStr">
        <is>
          <t>Есть два лида в статусе «Uchrashuv». У первого заполнено `uchrashuv vaqti`, у второго — только `uchrashuv sanasi`; обе даты — сегодня.</t>
        </is>
      </c>
      <c r="F18" s="2" t="inlineStr">
        <is>
          <t>1. Дождись синхронизации.
2. Через API карточки либо с помощью разработчика проверь `appointment_at` у обоих лидов.
3. Дождись прохода фонового процесса (до 5 минут).
4. Обнови статусы обоих лидов в списке.</t>
        </is>
      </c>
      <c r="G18" s="2" t="inlineStr">
        <is>
          <t>У первого `appointment_at` заполнено и его статус может перейти в «Bugun keladi». У второго поле пустое и перехода нет; похожее имя не принято за точное.</t>
        </is>
      </c>
      <c r="H18" s="21" t="inlineStr">
        <is>
          <t>High</t>
        </is>
      </c>
      <c r="I18" s="3" t="inlineStr">
        <is>
          <t>Not Run</t>
        </is>
      </c>
      <c r="J18" s="2" t="inlineStr">
        <is>
          <t>web|api|negative</t>
        </is>
      </c>
    </row>
    <row r="19" ht="96.39999999999999" customHeight="1">
      <c r="A19" s="3" t="inlineStr">
        <is>
          <t>TC-082</t>
        </is>
      </c>
      <c r="B19" s="2" t="inlineStr">
        <is>
          <t>Web/API — Лиды и статусы</t>
        </is>
      </c>
      <c r="C19" s="2" t="inlineStr">
        <is>
          <t>Лиды / Жизненный цикл</t>
        </is>
      </c>
      <c r="D19" s="2" t="inlineStr">
        <is>
          <t>В день встречи Uchrashuv автоматически становится Bugun keladi
Фоновый процесс раз в 5 минут переводит сегодняшние встречи в статус «Придёт сегодня» той же воронки и отправляет изменение в AmoCRM.</t>
        </is>
      </c>
      <c r="E19" s="2" t="inlineStr">
        <is>
          <t>В тестовой воронке есть статусы `Uchrashuv vaqti` и `Bugun keladi`. У лида дата `uchrashuv vaqti` — сегодня; время перехода уже наступило.</t>
        </is>
      </c>
      <c r="F19" s="2" t="inlineStr">
        <is>
          <t>1. Запиши текущий статус лида в Operator AI и AmoCRM.
2. Подожди до 5 минут, не меняя лид вручную.
3. Обнови список «Звонки» и карточку лида в AmoCRM.
4. Проверь новый статус и воронку.</t>
        </is>
      </c>
      <c r="G19" s="2" t="inlineStr">
        <is>
          <t>Статус один раз меняется на «Bugun keladi» в той же воронке. Одинаковое значение видно в Operator AI и AmoCRM.</t>
        </is>
      </c>
      <c r="H19" s="20" t="inlineStr">
        <is>
          <t>Critical</t>
        </is>
      </c>
      <c r="I19" s="3" t="inlineStr">
        <is>
          <t>Not Run</t>
        </is>
      </c>
      <c r="J19" s="2" t="inlineStr">
        <is>
          <t>web|positive</t>
        </is>
      </c>
    </row>
    <row r="20" ht="96.39999999999999" customHeight="1">
      <c r="A20" s="3" t="inlineStr">
        <is>
          <t>TC-083</t>
        </is>
      </c>
      <c r="B20" s="2" t="inlineStr">
        <is>
          <t>Web/API — Лиды и статусы</t>
        </is>
      </c>
      <c r="C20" s="2" t="inlineStr">
        <is>
          <t>Лиды / Жизненный цикл</t>
        </is>
      </c>
      <c r="D20" s="2" t="inlineStr">
        <is>
          <t>Без статуса Bugun автоматический переход безопасно пропускается
Если клиент неправильно настроил воронку и в ней нет статуса со словом `bugun`, система не должна переносить лид в чужую воронку или произвольный статус.</t>
        </is>
      </c>
      <c r="E20" s="2" t="inlineStr">
        <is>
          <t>Есть отдельная тестовая воронка со статусом `Uchrashuv`, но без любого статуса, содержащего `bugun`. Дата встречи лида — сегодня.</t>
        </is>
      </c>
      <c r="F20" s="2" t="inlineStr">
        <is>
          <t>1. Запиши исходный статус и воронку лида.
2. Подожди два прохода фонового процесса (до 10 минут).
3. Обнови лид в Operator AI и AmoCRM.</t>
        </is>
      </c>
      <c r="G20" s="2" t="inlineStr">
        <is>
          <t>Лид остаётся в исходном статусе и той же воронке. Не появляется дубль, не выбирается похожий статус из другой воронки, сервер продолжает работать.</t>
        </is>
      </c>
      <c r="H20" s="21" t="inlineStr">
        <is>
          <t>High</t>
        </is>
      </c>
      <c r="I20" s="3" t="inlineStr">
        <is>
          <t>Not Run</t>
        </is>
      </c>
      <c r="J20" s="2" t="inlineStr">
        <is>
          <t>web|negative</t>
        </is>
      </c>
    </row>
    <row r="21" ht="96.39999999999999" customHeight="1">
      <c r="A21" s="3" t="inlineStr">
        <is>
          <t>TC-084</t>
        </is>
      </c>
      <c r="B21" s="2" t="inlineStr">
        <is>
          <t>Web/API — Лиды и статусы</t>
        </is>
      </c>
      <c r="C21" s="2" t="inlineStr">
        <is>
          <t>Лиды / Жизненный цикл</t>
        </is>
      </c>
      <c r="D21" s="2" t="inlineStr">
        <is>
          <t>Четыре недозвона переводят Ko'tarmadi в Sifatsiz
Критичное правило жизненного цикла: после исчерпания бюджета попыток лид официально отбраковывается, а не остаётся незаметно зависшим.</t>
        </is>
      </c>
      <c r="E21" s="2" t="inlineStr">
        <is>
          <t>В тестовой воронке есть `Ko'tarmadi` и `Sifatsiz`. У тестового лида счётчик попыток равен 3. Четвёртая попытка выполняется на staging с тестовым номером.</t>
        </is>
      </c>
      <c r="F21" s="2" t="inlineStr">
        <is>
          <t>1. Выполни четвёртую попытку звонка и подтверди результат `Ko'tarmadi`.
2. В списке «Звонки» проверь, что «Попытки» стало 4.
3. Подожди до 5 минут.
4. Обнови лид в Operator AI и AmoCRM.
5. Попробуй получить этого лида через «Обзвон».</t>
        </is>
      </c>
      <c r="G21" s="2" t="inlineStr">
        <is>
          <t>Статус один раз меняется на `Sifatsiz` в той же воронке и доезжает до AmoCRM. Лид больше не выдаётся в обзвон.</t>
        </is>
      </c>
      <c r="H21" s="20" t="inlineStr">
        <is>
          <t>Critical</t>
        </is>
      </c>
      <c r="I21" s="3" t="inlineStr">
        <is>
          <t>Not Run</t>
        </is>
      </c>
      <c r="J21" s="2" t="inlineStr">
        <is>
          <t>web|positive</t>
        </is>
      </c>
    </row>
    <row r="22" ht="83.19999999999999" customHeight="1">
      <c r="A22" s="3" t="inlineStr">
        <is>
          <t>TC-085</t>
        </is>
      </c>
      <c r="B22" s="2" t="inlineStr">
        <is>
          <t>Web/API — Лиды и статусы</t>
        </is>
      </c>
      <c r="C22" s="2" t="inlineStr">
        <is>
          <t>Лиды / Жизненный цикл</t>
        </is>
      </c>
      <c r="D22" s="2" t="inlineStr">
        <is>
          <t>Без статуса Sifatsiz исчерпанный лид не переносится куда попало
Неверно настроенная воронка не должна приводить к выбору статуса из другой воронки или удалению лида.</t>
        </is>
      </c>
      <c r="E22" s="2" t="inlineStr">
        <is>
          <t>Есть тестовая воронка с `Ko'tarmadi`, но без статуса, содержащего `sifatsiz`. У лида 4 попытки.</t>
        </is>
      </c>
      <c r="F22" s="2" t="inlineStr">
        <is>
          <t>1. Запиши статус и воронку лида.
2. Подожди два прохода фонового процесса (до 10 минут).
3. Обнови лид в Operator AI и AmoCRM.
4. Проверь очередь обзвона.</t>
        </is>
      </c>
      <c r="G22" s="2" t="inlineStr">
        <is>
          <t>Лид остаётся в `Ko'tarmadi`, не переносится в другую воронку и не удаляется. Из-за лимита 4 он не выдаётся в обзвон; сервер не падает.</t>
        </is>
      </c>
      <c r="H22" s="20" t="inlineStr">
        <is>
          <t>Critical</t>
        </is>
      </c>
      <c r="I22" s="3" t="inlineStr">
        <is>
          <t>Not Run</t>
        </is>
      </c>
      <c r="J22" s="2" t="inlineStr">
        <is>
          <t>web|negative</t>
        </is>
      </c>
    </row>
    <row r="23" ht="96.39999999999999" customHeight="1">
      <c r="A23" s="3" t="inlineStr">
        <is>
          <t>TC-086</t>
        </is>
      </c>
      <c r="B23" s="2" t="inlineStr">
        <is>
          <t>Web/API — Лиды и статусы</t>
        </is>
      </c>
      <c r="C23" s="2" t="inlineStr">
        <is>
          <t>Лиды / Жизненный цикл</t>
        </is>
      </c>
      <c r="D23" s="2" t="inlineStr">
        <is>
          <t>Оператору нельзя выбрать Yangi или Sifatsiz как итог звонка
`Yangi` — входящий этап, а `Sifatsiz` назначается правилом четырёх недозвонов или человеком в AmoCRM. Они не являются обычным итогом разговора.</t>
        </is>
      </c>
      <c r="E23" s="2" t="inlineStr">
        <is>
          <t>В воронке лида есть статусы `Yangi lid`, `Sifatsiz`, `Chala gaplashdi` и `Keyingi qo'ng'iroq vaqti`. Оператор завершил тестовый звонок.</t>
        </is>
      </c>
      <c r="F23" s="2" t="inlineStr">
        <is>
          <t>1. На экране «Итог разговора — подтвердите» раскрой список статусов.
2. Просмотри все варианты.
3. Найди `Chala gaplashdi` и `Keyingi qo'ng'iroq vaqti`.
4. Проверь наличие `Yangi lid` и `Sifatsiz`.</t>
        </is>
      </c>
      <c r="G23" s="2" t="inlineStr">
        <is>
          <t>`Chala` и `Keyingi` доступны. `Yangi lid` и `Sifatsiz` в списке отсутствуют, их нельзя отправить как итог звонка.</t>
        </is>
      </c>
      <c r="H23" s="20" t="inlineStr">
        <is>
          <t>Critical</t>
        </is>
      </c>
      <c r="I23" s="3" t="inlineStr">
        <is>
          <t>Not Run</t>
        </is>
      </c>
      <c r="J23" s="2" t="inlineStr">
        <is>
          <t>web|negative</t>
        </is>
      </c>
    </row>
    <row r="24" ht="83.19999999999999" customHeight="1">
      <c r="A24" s="3" t="inlineStr">
        <is>
          <t>TC-087</t>
        </is>
      </c>
      <c r="B24" s="2" t="inlineStr">
        <is>
          <t>Web/API — Лиды и статусы</t>
        </is>
      </c>
      <c r="C24" s="2" t="inlineStr">
        <is>
          <t>Лиды / Жизненный цикл</t>
        </is>
      </c>
      <c r="D24" s="2" t="inlineStr">
        <is>
          <t>Успешно закрытый статус AmoCRM 142 не возвращается в очередь
Системный статус 142 означает, что сделка успешно завершена. Повторный звонок такому клиенту был бы ошибкой.</t>
        </is>
      </c>
      <c r="E24" s="2" t="inlineStr">
        <is>
          <t>Есть единственный лид в системном статусе AmoCRM 142 «Успешно реализовано».</t>
        </is>
      </c>
      <c r="F24" s="2" t="inlineStr">
        <is>
          <t>1. Дождись синхронизации статуса.
2. Открой «Обзвон» под назначенным оператором.
3. Проверь счётчик и нажми «Начать обзвон».</t>
        </is>
      </c>
      <c r="G24" s="2" t="inlineStr">
        <is>
          <t>Лид не находится в очереди и не выдаётся оператору.</t>
        </is>
      </c>
      <c r="H24" s="20" t="inlineStr">
        <is>
          <t>Critical</t>
        </is>
      </c>
      <c r="I24" s="3" t="inlineStr">
        <is>
          <t>Not Run</t>
        </is>
      </c>
      <c r="J24" s="2" t="inlineStr">
        <is>
          <t>web|positive</t>
        </is>
      </c>
    </row>
    <row r="25" ht="109.6" customHeight="1">
      <c r="A25" s="3" t="inlineStr">
        <is>
          <t>TC-088</t>
        </is>
      </c>
      <c r="B25" s="2" t="inlineStr">
        <is>
          <t>Web/API — Лиды и статусы</t>
        </is>
      </c>
      <c r="C25" s="2" t="inlineStr">
        <is>
          <t>Лиды / Жизненный цикл</t>
        </is>
      </c>
      <c r="D25" s="2" t="inlineStr">
        <is>
          <t>Статус AmoCRM 143 возвращается в работу по требованию
По решению продукта отказ клиента на этот раз не завершает работу навсегда. Текущий код исключает 143 из очереди — кейс подтверждает или опровергает кандидат BUG-013.</t>
        </is>
      </c>
      <c r="E25" s="2" t="inlineStr">
        <is>
          <t>Есть единственный лид в системном статусе AmoCRM 143 «Закрыто и не реализовано». По согласованному требованию он должен продолжать обзвон до статуса 142.</t>
        </is>
      </c>
      <c r="F25" s="2" t="inlineStr">
        <is>
          <t>1. Дождись синхронизации статуса 143.
2. Открой «Обзвон» под назначенным оператором.
3. Проверь счётчик и попытайся получить следующего лида.
4. Запиши фактическое поведение.</t>
        </is>
      </c>
      <c r="G25" s="2" t="inlineStr">
        <is>
          <t>Лид возвращается в очередь и может быть выдан оператору. Если очередь его исключает, воспроизведён BUG-013 — приложить скриншот и сетевой ответ.</t>
        </is>
      </c>
      <c r="H25" s="20" t="inlineStr">
        <is>
          <t>Critical</t>
        </is>
      </c>
      <c r="I25" s="3" t="inlineStr">
        <is>
          <t>Not Run</t>
        </is>
      </c>
      <c r="J25" s="2" t="inlineStr">
        <is>
          <t>web|negative</t>
        </is>
      </c>
    </row>
    <row r="26" ht="96.39999999999999" customHeight="1">
      <c r="A26" s="3" t="inlineStr">
        <is>
          <t>TC-089</t>
        </is>
      </c>
      <c r="B26" s="2" t="inlineStr">
        <is>
          <t>Web/API — Лиды и статусы</t>
        </is>
      </c>
      <c r="C26" s="2" t="inlineStr">
        <is>
          <t>Лиды / Жизненный цикл</t>
        </is>
      </c>
      <c r="D26" s="2" t="inlineStr">
        <is>
          <t>Повторный проход фонового процесса не дублирует переход
Фоновая проверка запускается каждые 5 минут. Один и тот же лид не должен несколько раз менять статус или порождать повторные записи в AmoCRM.</t>
        </is>
      </c>
      <c r="E26" s="2" t="inlineStr">
        <is>
          <t>Лид готов к переходу `Uchrashuv → Bugun keladi` либо `Ko'tarmadi → Sifatsiz`. Есть доступ к истории изменений тестового лида в AmoCRM.</t>
        </is>
      </c>
      <c r="F26" s="2" t="inlineStr">
        <is>
          <t>1. Дождись первого автоматического перехода и запиши его время.
2. Не меняй лид вручную.
3. Подожди ещё два прохода процесса (10 минут).
4. Открой историю изменений лида в AmoCRM.
5. Обнови список Operator AI.</t>
        </is>
      </c>
      <c r="G26" s="2" t="inlineStr">
        <is>
          <t>В истории ровно одно автоматическое изменение на целевой статус. Нет дубликата лида, повторных одинаковых записей или скачков между статусами.</t>
        </is>
      </c>
      <c r="H26" s="21" t="inlineStr">
        <is>
          <t>High</t>
        </is>
      </c>
      <c r="I26" s="3" t="inlineStr">
        <is>
          <t>Not Run</t>
        </is>
      </c>
      <c r="J26" s="2" t="inlineStr">
        <is>
          <t>web|negative</t>
        </is>
      </c>
    </row>
    <row r="27" ht="96.39999999999999" customHeight="1">
      <c r="A27" s="3" t="inlineStr">
        <is>
          <t>TC-090</t>
        </is>
      </c>
      <c r="B27" s="2" t="inlineStr">
        <is>
          <t>Web/API — Лиды и статусы</t>
        </is>
      </c>
      <c r="C27" s="2" t="inlineStr">
        <is>
          <t>Лиды / Жизненный цикл</t>
        </is>
      </c>
      <c r="D27" s="2" t="inlineStr">
        <is>
          <t>Изменение статуса в AmoCRM появляется без перезагрузки
Список сделок получает обновления в реальном времени. Человеку не нужно постоянно обновлять страницу, чтобы увидеть новый статус.</t>
        </is>
      </c>
      <c r="E27" s="2" t="inlineStr">
        <is>
          <t>В браузере под оператором открыт раздел «Звонки». В другой вкладке открыта тестовая AmoCRM с тем же лидом. Сетевое соединение стабильно.</t>
        </is>
      </c>
      <c r="F27" s="2" t="inlineStr">
        <is>
          <t>1. Запиши текущий статус лида в Operator AI.
2. В AmoCRM измени статус на другой известный статус этой воронки.
3. Не обновляй страницу Operator AI вручную.
4. Подожди до фоновой синхронизации и наблюдай строку лида.
5. Повтори изменение ещё один раз.</t>
        </is>
      </c>
      <c r="G27" s="2" t="inlineStr">
        <is>
          <t>Строка показывает каждый новый статус без ручной перезагрузки и без дублирования лида. Последнее значение совпадает с AmoCRM.</t>
        </is>
      </c>
      <c r="H27" s="21" t="inlineStr">
        <is>
          <t>High</t>
        </is>
      </c>
      <c r="I27" s="3" t="inlineStr">
        <is>
          <t>Not Run</t>
        </is>
      </c>
      <c r="J27" s="2" t="inlineStr">
        <is>
          <t>web|positive</t>
        </is>
      </c>
    </row>
    <row r="28" ht="109.6" customHeight="1">
      <c r="A28" s="3" t="inlineStr">
        <is>
          <t>TC-091</t>
        </is>
      </c>
      <c r="B28" s="2" t="inlineStr">
        <is>
          <t>Web/API — Лиды и статусы</t>
        </is>
      </c>
      <c r="C28" s="2" t="inlineStr">
        <is>
          <t>Лиды / Жизненный цикл</t>
        </is>
      </c>
      <c r="D28" s="2" t="inlineStr">
        <is>
          <t>Список лидов восстанавливается после потери сети
Проверяем отрицательный сценарий: временная потеря интернета не должна показывать устаревшие данные как свежие или ломать страницу навсегда.</t>
        </is>
      </c>
      <c r="E28" s="2" t="inlineStr">
        <is>
          <t>Под оператором открыт раздел «Звонки», тестовый лид виден в таблице.</t>
        </is>
      </c>
      <c r="F28" s="2" t="inlineStr">
        <is>
          <t>1. В инструментах браузера включи Offline.
2. Обнови страницу или дождись очередного обновления данных.
3. Проверь сообщение на экране.
4. В AmoCRM измени статус тестового лида.
5. Верни сеть в режим Online.
6. Дождись автоматического переподключения либо обнови страницу один раз.</t>
        </is>
      </c>
      <c r="G28" s="2" t="inlineStr">
        <is>
          <t>Без сети показана понятная ошибка «Не удалось загрузить сделки», страница не падает. После восстановления соединения список снова загружается и показывает актуальный статус без дубликатов.</t>
        </is>
      </c>
      <c r="H28" s="21" t="inlineStr">
        <is>
          <t>High</t>
        </is>
      </c>
      <c r="I28" s="3" t="inlineStr">
        <is>
          <t>Not Run</t>
        </is>
      </c>
      <c r="J28" s="2" t="inlineStr">
        <is>
          <t>web|negative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TC-092</t>
        </is>
      </c>
      <c r="B2" s="2" t="inlineStr">
        <is>
          <t>Web/API — Очередь обзвона</t>
        </is>
      </c>
      <c r="C2" s="2" t="inlineStr">
        <is>
          <t>Настройка очереди / Режим звонков</t>
        </is>
      </c>
      <c r="D2" s="2" t="inlineStr">
        <is>
          <t>Счётчик показывает только доступные лиды оператора
Проверяем число над подписью «лидов в очереди». В него должны входить только лиды из назначенных оператору воронок, у которых уже наступило время звонка. Закрытые, удалённые, отложенные и занятые другим оператором лиды не считаются.</t>
        </is>
      </c>
      <c r="E2" s="2" t="inlineStr">
        <is>
          <t>Для оператора подготовлена отдельная тестовая воронка. В ней ровно 3 доступных лида и по одному закрытому, удалённому и отложенному лиду. Другие операторы тестовую воронку сейчас не обзванивают.</t>
        </is>
      </c>
      <c r="F2" s="2" t="inlineStr">
        <is>
          <t>1. Войди под тестовым оператором.
2. В левом меню открой «Режим звонков» — экран с заголовком «Обзвон».
3. Посмотри число над подписью «лидов в очереди».
4. Сверь имена трёх доступных лидов с подготовленным списком.</t>
        </is>
      </c>
      <c r="G2" s="2" t="inlineStr">
        <is>
          <t>Счётчик равен 3. Закрытый, удалённый, отложенный и недоступный оператору лиды в это число не входят.</t>
        </is>
      </c>
      <c r="H2" s="21" t="inlineStr">
        <is>
          <t>High</t>
        </is>
      </c>
      <c r="I2" s="3" t="inlineStr">
        <is>
          <t>Not Run</t>
        </is>
      </c>
      <c r="J2" s="2" t="inlineStr">
        <is>
          <t>web|positive</t>
        </is>
      </c>
    </row>
    <row r="3" ht="96.39999999999999" customHeight="1">
      <c r="A3" s="3" t="inlineStr">
        <is>
          <t>TC-093</t>
        </is>
      </c>
      <c r="B3" s="2" t="inlineStr">
        <is>
          <t>Web/API — Очередь обзвона</t>
        </is>
      </c>
      <c r="C3" s="2" t="inlineStr">
        <is>
          <t>Настройка очереди / Режим звонков</t>
        </is>
      </c>
      <c r="D3" s="2" t="inlineStr">
        <is>
          <t>Счётчик очереди обновляется каждые 30 секунд
Экран «Обзвон» сам обновляет число лидов раз в 30 секунд, пока окно обзвона закрыто. Проверяем, что новый лид появляется без перезагрузки страницы.</t>
        </is>
      </c>
      <c r="E3" s="2" t="inlineStr">
        <is>
          <t>Под оператором открыт экран «Обзвон». РОП может добавить тестовый лид в назначенную этому оператору воронку. Окно с инструкцией перед звонком закрыто.</t>
        </is>
      </c>
      <c r="F3" s="2" t="inlineStr">
        <is>
          <t>1. Запиши текущее число «лидов в очереди».
2. В AmoCRM создай доступный сейчас тестовый лид со статусом «Yangi lid».
3. Не обновляй страницу Operator AI.
4. Подожди 35 секунд и снова посмотри на число.</t>
        </is>
      </c>
      <c r="G3" s="2" t="inlineStr">
        <is>
          <t>Не позднее чем через 30–35 секунд счётчик увеличивается на 1. Страница не мигает и не создаёт дубликат лида.</t>
        </is>
      </c>
      <c r="H3" s="22" t="inlineStr">
        <is>
          <t>Medium</t>
        </is>
      </c>
      <c r="I3" s="3" t="inlineStr">
        <is>
          <t>Not Run</t>
        </is>
      </c>
      <c r="J3" s="2" t="inlineStr">
        <is>
          <t>web|boundary</t>
        </is>
      </c>
    </row>
    <row r="4" ht="96.39999999999999" customHeight="1">
      <c r="A4" s="3" t="inlineStr">
        <is>
          <t>TC-094</t>
        </is>
      </c>
      <c r="B4" s="2" t="inlineStr">
        <is>
          <t>Web/API — Очередь обзвона</t>
        </is>
      </c>
      <c r="C4" s="2" t="inlineStr">
        <is>
          <t>Настройка очереди / Режим звонков</t>
        </is>
      </c>
      <c r="D4" s="2" t="inlineStr">
        <is>
          <t>Очередь соблюдает порядок пяти классов
Главное правило выбора следующего лида: сначала «Bugun keladi», затем «Keyingi qo'ng'iroq», «Chala gaplashdi», «Ko'tarmadi» и в конце «Yangi lid». Проверяем весь порядок на одном наборе данных.</t>
        </is>
      </c>
      <c r="E4" s="2" t="inlineStr">
        <is>
          <t>В одной назначенной оператору воронке подготовлено по одному доступному сейчас лиду каждого из пяти классов. Имена лидов начинаются с номера ожидаемого порядка: 1-Bugun, 2-Keyingi, 3-Chala, 4-Kotarmadi, 5-Yangi.</t>
        </is>
      </c>
      <c r="F4" s="2" t="inlineStr">
        <is>
          <t>1. Войди под оператором и открой «Обзвон».
2. Нажми «Начать обзвон».
3. Запиши имя выданного лида и нажми «Пропустить».
4. Повтори предыдущий шаг, пока не увидишь все пять тестовых лидов.
5. Сравни записанный порядок с номерами в именах.</t>
        </is>
      </c>
      <c r="G4" s="2" t="inlineStr">
        <is>
          <t>Лиды выдаются строго так: 1-Bugun, 2-Keyingi, 3-Chala, 4-Kotarmadi, 5-Yangi. Пропущенный лид не появляется снова в этом же проходе.</t>
        </is>
      </c>
      <c r="H4" s="20" t="inlineStr">
        <is>
          <t>Critical</t>
        </is>
      </c>
      <c r="I4" s="3" t="inlineStr">
        <is>
          <t>Not Run</t>
        </is>
      </c>
      <c r="J4" s="2" t="inlineStr">
        <is>
          <t>web|positive</t>
        </is>
      </c>
    </row>
    <row r="5" ht="96.39999999999999" customHeight="1">
      <c r="A5" s="3" t="inlineStr">
        <is>
          <t>TC-095</t>
        </is>
      </c>
      <c r="B5" s="2" t="inlineStr">
        <is>
          <t>Web/API — Очередь обзвона</t>
        </is>
      </c>
      <c r="C5" s="2" t="inlineStr">
        <is>
          <t>Настройка очереди / Режим звонков</t>
        </is>
      </c>
      <c r="D5" s="2" t="inlineStr">
        <is>
          <t>При равном приоритете раньше выдаётся более старый лид
Если два лида относятся к одному классу, очередь выбирает того, чьё время звонка наступило раньше. Для двух новых лидов выбирается созданный раньше.</t>
        </is>
      </c>
      <c r="E5" s="2" t="inlineStr">
        <is>
          <t>В тестовой воронке нет других доступных лидов. Есть два лида одного класса: «QA-старый» стал доступен раньше, «QA-новый» — позже.</t>
        </is>
      </c>
      <c r="F5" s="2" t="inlineStr">
        <is>
          <t>1. Открой «Обзвон» под назначенным оператором.
2. Нажми «Начать обзвон».
3. Сразу нажми «Пауза», чтобы звонок не начался.
4. Посмотри имя выданного лида.</t>
        </is>
      </c>
      <c r="G5" s="2" t="inlineStr">
        <is>
          <t>Первым выдан «QA-старый». Порядок не меняется после обновления страницы.</t>
        </is>
      </c>
      <c r="H5" s="21" t="inlineStr">
        <is>
          <t>High</t>
        </is>
      </c>
      <c r="I5" s="3" t="inlineStr">
        <is>
          <t>Not Run</t>
        </is>
      </c>
      <c r="J5" s="2" t="inlineStr">
        <is>
          <t>web|boundary</t>
        </is>
      </c>
    </row>
    <row r="6" ht="96.39999999999999" customHeight="1">
      <c r="A6" s="3" t="inlineStr">
        <is>
          <t>TC-096</t>
        </is>
      </c>
      <c r="B6" s="2" t="inlineStr">
        <is>
          <t>Web/API — Очередь обзвона</t>
        </is>
      </c>
      <c r="C6" s="2" t="inlineStr">
        <is>
          <t>Настройка очереди / Режим звонков</t>
        </is>
      </c>
      <c r="D6" s="2" t="inlineStr">
        <is>
          <t>Будущее время звонка откладывает даже приоритетный лид
Явно назначенное будущее время имеет силу для любого класса. Даже лид «Bugun keladi» не должен попасть в работу раньше этого времени.</t>
        </is>
      </c>
      <c r="E6" s="2" t="inlineStr">
        <is>
          <t>Есть два лида: «QA-Bugun-отложен» со статусом «Bugun keladi» и временем следующего звонка через 30 минут; «QA-Yangi-сейчас» доступен сейчас. Других лидов нет.</t>
        </is>
      </c>
      <c r="F6" s="2" t="inlineStr">
        <is>
          <t>1. Открой «Обзвон» под оператором.
2. Нажми «Начать обзвон» и сразу «Пауза».
3. Посмотри имя лида.
4. Проверь счётчик очереди.</t>
        </is>
      </c>
      <c r="G6" s="2" t="inlineStr">
        <is>
          <t>Выдан «QA-Yangi-сейчас». Отложенный приоритетный лид не выдан и не включён в текущий счётчик до наступления назначенного времени.</t>
        </is>
      </c>
      <c r="H6" s="20" t="inlineStr">
        <is>
          <t>Critical</t>
        </is>
      </c>
      <c r="I6" s="3" t="inlineStr">
        <is>
          <t>Not Run</t>
        </is>
      </c>
      <c r="J6" s="2" t="inlineStr">
        <is>
          <t>web|negative</t>
        </is>
      </c>
    </row>
    <row r="7" ht="96.39999999999999" customHeight="1">
      <c r="A7" s="3" t="inlineStr">
        <is>
          <t>TC-097</t>
        </is>
      </c>
      <c r="B7" s="2" t="inlineStr">
        <is>
          <t>Web/API — Очередь обзвона</t>
        </is>
      </c>
      <c r="C7" s="2" t="inlineStr">
        <is>
          <t>Настройка очереди / Режим звонков</t>
        </is>
      </c>
      <c r="D7" s="2" t="inlineStr">
        <is>
          <t>Оператор получает лиды только назначенной воронки
РОП связывает оператора с воронкой на экране «Настройка очереди». Лиды из невыбранной воронки не должны попадать этому оператору.</t>
        </is>
      </c>
      <c r="E7" s="2" t="inlineStr">
        <is>
          <t>У РОП есть две тестовые воронки A и B, в каждой по одному доступному лиду. Оператору назначена только воронка A.</t>
        </is>
      </c>
      <c r="F7" s="2" t="inlineStr">
        <is>
          <t>1. Войди под РОП и открой «Настройка очереди».
2. В карточке оператора проверь: плашка воронки A синяя с галочкой, B — контурная с плюсом.
3. Выйди и войди под этим оператором.
4. Открой «Обзвон», нажми «Начать обзвон» и поставь таймер на паузу.
5. Проверь имя и воронку выданного лида.</t>
        </is>
      </c>
      <c r="G7" s="2" t="inlineStr">
        <is>
          <t>Оператор получает только лида из воронки A. Лид из B не входит в его счётчик и не выдаётся.</t>
        </is>
      </c>
      <c r="H7" s="20" t="inlineStr">
        <is>
          <t>Critical</t>
        </is>
      </c>
      <c r="I7" s="3" t="inlineStr">
        <is>
          <t>Not Run</t>
        </is>
      </c>
      <c r="J7" s="2" t="inlineStr">
        <is>
          <t>web|positive</t>
        </is>
      </c>
    </row>
    <row r="8" ht="96.39999999999999" customHeight="1">
      <c r="A8" s="3" t="inlineStr">
        <is>
          <t>TC-098</t>
        </is>
      </c>
      <c r="B8" s="2" t="inlineStr">
        <is>
          <t>Web/API — Очередь обзвона</t>
        </is>
      </c>
      <c r="C8" s="2" t="inlineStr">
        <is>
          <t>Настройка очереди / Режим звонков</t>
        </is>
      </c>
      <c r="D8" s="2" t="inlineStr">
        <is>
          <t>Оператор работает с несколькими назначенными воронками
Один оператор может быть связан сразу с несколькими воронками. Проверяем, что лиды обеих воронок участвуют в одной общей очереди по обычному приоритету.</t>
        </is>
      </c>
      <c r="E8" s="2" t="inlineStr">
        <is>
          <t>У РОП две тестовые воронки A и B. В A есть доступный «Yangi lid», в B — доступный «Bugun keladi». Оба назначения включены для одного оператора.</t>
        </is>
      </c>
      <c r="F8" s="2" t="inlineStr">
        <is>
          <t>1. Под РОП открой «Настройка очереди» и убедись, что обе плашки воронок синие с галочкой.
2. Войди под оператором и открой «Обзвон».
3. Проверь, что счётчик включает оба лида.
4. Нажми «Начать обзвон» и сразу «Пауза».
5. Посмотри, из какой воронки пришёл первый лид.</t>
        </is>
      </c>
      <c r="G8" s="2" t="inlineStr">
        <is>
          <t>В счётчике 2 лида. Первым выдан «Bugun keladi» из воронки B, потому что приоритет класса важнее принадлежности к воронке.</t>
        </is>
      </c>
      <c r="H8" s="21" t="inlineStr">
        <is>
          <t>High</t>
        </is>
      </c>
      <c r="I8" s="3" t="inlineStr">
        <is>
          <t>Not Run</t>
        </is>
      </c>
      <c r="J8" s="2" t="inlineStr">
        <is>
          <t>web|positive</t>
        </is>
      </c>
    </row>
    <row r="9" ht="96.39999999999999" customHeight="1">
      <c r="A9" s="3" t="inlineStr">
        <is>
          <t>TC-099</t>
        </is>
      </c>
      <c r="B9" s="2" t="inlineStr">
        <is>
          <t>Web/API — Очередь обзвона</t>
        </is>
      </c>
      <c r="C9" s="2" t="inlineStr">
        <is>
          <t>Настройка очереди / Режим звонков</t>
        </is>
      </c>
      <c r="D9" s="2" t="inlineStr">
        <is>
          <t>Снятие назначения сразу закрывает воронку оператору
После снятия галочки в «Настройке очереди» новые лиды этой воронки больше не должны выдаваться оператору.</t>
        </is>
      </c>
      <c r="E9" s="2" t="inlineStr">
        <is>
          <t>Оператору назначена тестовая воронка с одним доступным лидом. У оператора нет незавершённой сессии обзвона.</t>
        </is>
      </c>
      <c r="F9" s="2" t="inlineStr">
        <is>
          <t>1. Под РОП открой «Настройка очереди».
2. Нажми синюю плашку тестовой воронки в карточке оператора.
3. Дождись сообщения «Сохранено» и проверь, что плашка стала контурной с плюсом.
4. Войди под оператором и открой «Обзвон».
5. Проверь счётчик и нажми «Начать обзвон».</t>
        </is>
      </c>
      <c r="G9" s="2" t="inlineStr">
        <is>
          <t>Лид снятой воронки не входит в счётчик и не выдаётся оператору.</t>
        </is>
      </c>
      <c r="H9" s="20" t="inlineStr">
        <is>
          <t>Critical</t>
        </is>
      </c>
      <c r="I9" s="3" t="inlineStr">
        <is>
          <t>Not Run</t>
        </is>
      </c>
      <c r="J9" s="2" t="inlineStr">
        <is>
          <t>web|negative</t>
        </is>
      </c>
    </row>
    <row r="10" ht="109.6" customHeight="1">
      <c r="A10" s="3" t="inlineStr">
        <is>
          <t>TC-100</t>
        </is>
      </c>
      <c r="B10" s="2" t="inlineStr">
        <is>
          <t>Web/API — Очередь обзвона</t>
        </is>
      </c>
      <c r="C10" s="2" t="inlineStr">
        <is>
          <t>Настройка очереди / Режим звонков</t>
        </is>
      </c>
      <c r="D10" s="2" t="inlineStr">
        <is>
          <t>Два оператора одновременно получают разных лидов
Проверка риска R-7: в общем пуле два оператора не должны начать звонить одному человеку. Проверку выполняют одновременно в двух окнах.</t>
        </is>
      </c>
      <c r="E10" s="2" t="inlineStr">
        <is>
          <t>Два активных оператора одного РОП назначены на одну воронку. В ней ровно два доступных лида. Открой два разных браузера или обычное и приватное окно.</t>
        </is>
      </c>
      <c r="F10" s="2" t="inlineStr">
        <is>
          <t>1. В первом окне войди под оператором A, во втором — под оператором B.
2. В обоих окнах открой «Обзвон».
3. Попроси двух людей одновременно нажать «Начать обзвон»; если ты один, нажми кнопки быстро по очереди.
4. В обоих окнах сразу нажми «Пауза».
5. Сравни имена и телефоны выданных лидов.</t>
        </is>
      </c>
      <c r="G10" s="2" t="inlineStr">
        <is>
          <t>Операторы получают двух разных лидов. Один и тот же телефон не показан одновременно в обоих окнах.</t>
        </is>
      </c>
      <c r="H10" s="20" t="inlineStr">
        <is>
          <t>Critical</t>
        </is>
      </c>
      <c r="I10" s="3" t="inlineStr">
        <is>
          <t>Not Run</t>
        </is>
      </c>
      <c r="J10" s="2" t="inlineStr">
        <is>
          <t>web|boundary</t>
        </is>
      </c>
    </row>
    <row r="11" ht="96.39999999999999" customHeight="1">
      <c r="A11" s="3" t="inlineStr">
        <is>
          <t>TC-101</t>
        </is>
      </c>
      <c r="B11" s="2" t="inlineStr">
        <is>
          <t>Web/API — Очередь обзвона</t>
        </is>
      </c>
      <c r="C11" s="2" t="inlineStr">
        <is>
          <t>Настройка очереди / Режим звонков</t>
        </is>
      </c>
      <c r="D11" s="2" t="inlineStr">
        <is>
          <t>Захваченный лид недоступен другому оператору пять минут
После выдачи лид временно блокируется. Проверяем обычный срок блокировки до пяти минут, пока первый оператор готовится к звонку.</t>
        </is>
      </c>
      <c r="E11" s="2" t="inlineStr">
        <is>
          <t>Два оператора назначены на одну воронку. В очереди ровно один лид.</t>
        </is>
      </c>
      <c r="F11" s="2" t="inlineStr">
        <is>
          <t>1. Под оператором A нажми «Начать обзвон» и сразу «Пауза». Не закрывай окно.
2. В течение следующих 4 минут под оператором B открой «Обзвон».
3. Посмотри счётчик и нажми «Начать обзвон».
4. Убедись, что оператор B не видит данные лида оператора A.</t>
        </is>
      </c>
      <c r="G11" s="2" t="inlineStr">
        <is>
          <t>У оператора B счётчик не включает захваченный лид, и этот лид ему не выдаётся.</t>
        </is>
      </c>
      <c r="H11" s="20" t="inlineStr">
        <is>
          <t>Critical</t>
        </is>
      </c>
      <c r="I11" s="3" t="inlineStr">
        <is>
          <t>Not Run</t>
        </is>
      </c>
      <c r="J11" s="2" t="inlineStr">
        <is>
          <t>web|negative</t>
        </is>
      </c>
    </row>
    <row r="12" ht="122.8" customHeight="1">
      <c r="A12" s="3" t="inlineStr">
        <is>
          <t>TC-102</t>
        </is>
      </c>
      <c r="B12" s="2" t="inlineStr">
        <is>
          <t>Web/API — Очередь обзвона</t>
        </is>
      </c>
      <c r="C12" s="2" t="inlineStr">
        <is>
          <t>Настройка очереди / Режим звонков</t>
        </is>
      </c>
      <c r="D12" s="2" t="inlineStr">
        <is>
          <t>Долгий звонок не допускает двойного обзвона после пяти минут
Критическая проверка R-7. Блокировка в коде выдаётся на 5 минут. Если разговор длится дольше, второй оператор всё равно не должен получить этого же лида. Текущая реализация особенно рискованна для браузерного звонка.</t>
        </is>
      </c>
      <c r="E12" s="2" t="inlineStr">
        <is>
          <t>Два оператора назначены на одну воронку, где доступен только один лид. Клиентский тестовый номер может держать разговор дольше 6 минут.</t>
        </is>
      </c>
      <c r="F12" s="2" t="inlineStr">
        <is>
          <t>1. Под оператором A начни звонок этому лиду и ответь на тестовом телефоне.
2. Не завершай разговор 6 минут.
3. После пятой минуты под оператором B открой «Обзвон» и нажми «Начать обзвон».
4. Сравни имя и телефон в окне B с лидом, которому уже звонит оператор A.</t>
        </is>
      </c>
      <c r="G12" s="2" t="inlineStr">
        <is>
          <t>Оператор B НЕ получает занятого лида. Если тот же лид появился во втором окне, это критический дефект двойного обзвона R-7.</t>
        </is>
      </c>
      <c r="H12" s="20" t="inlineStr">
        <is>
          <t>Critical</t>
        </is>
      </c>
      <c r="I12" s="3" t="inlineStr">
        <is>
          <t>Not Run</t>
        </is>
      </c>
      <c r="J12" s="2" t="inlineStr">
        <is>
          <t>web|boundary</t>
        </is>
      </c>
    </row>
    <row r="13" ht="96.39999999999999" customHeight="1">
      <c r="A13" s="3" t="inlineStr">
        <is>
          <t>TC-103</t>
        </is>
      </c>
      <c r="B13" s="2" t="inlineStr">
        <is>
          <t>Web/API — Очередь обзвона</t>
        </is>
      </c>
      <c r="C13" s="2" t="inlineStr">
        <is>
          <t>Настройка очереди / Режим звонков</t>
        </is>
      </c>
      <c r="D13" s="2" t="inlineStr">
        <is>
          <t>Перезагрузка возвращает того же активного лида
У одного оператора может быть только одна незавершённая сессия. Обновление страницы не должно брать новый лид или увеличивать число попыток.</t>
        </is>
      </c>
      <c r="E13" s="2" t="inlineStr">
        <is>
          <t>В очереди оператора минимум два лида. У первого лида известен текущий номер попытки.</t>
        </is>
      </c>
      <c r="F13" s="2" t="inlineStr">
        <is>
          <t>1. Нажми «Начать обзвон» и сразу «Пауза».
2. Запиши имя лида и строку «Попытка», если она есть.
3. Обнови страницу браузера клавишей F5.
4. Снова открой «Обзвон» и нажми «Начать обзвон».
5. Сравни имя лида и номер попытки с записанными.</t>
        </is>
      </c>
      <c r="G13" s="2" t="inlineStr">
        <is>
          <t>Возвращается тот же лид. Новый лид не захвачен, номер попытки не изменился.</t>
        </is>
      </c>
      <c r="H13" s="20" t="inlineStr">
        <is>
          <t>Critical</t>
        </is>
      </c>
      <c r="I13" s="3" t="inlineStr">
        <is>
          <t>Not Run</t>
        </is>
      </c>
      <c r="J13" s="2" t="inlineStr">
        <is>
          <t>web|negative</t>
        </is>
      </c>
    </row>
    <row r="14" ht="83.19999999999999" customHeight="1">
      <c r="A14" s="3" t="inlineStr">
        <is>
          <t>TC-104</t>
        </is>
      </c>
      <c r="B14" s="2" t="inlineStr">
        <is>
          <t>Web/API — Очередь обзвона</t>
        </is>
      </c>
      <c r="C14" s="2" t="inlineStr">
        <is>
          <t>Настройка очереди / Режим звонков</t>
        </is>
      </c>
      <c r="D14" s="2" t="inlineStr">
        <is>
          <t>Двойное нажатие «Начать обзвон» создаёт одну сессию
Быстрое повторное нажатие не должно захватить два лида. Это проверка защиты от случайного двойного клика.</t>
        </is>
      </c>
      <c r="E14" s="2" t="inlineStr">
        <is>
          <t>В очереди оператора минимум три доступных лида. Активной сессии нет.</t>
        </is>
      </c>
      <c r="F14" s="2" t="inlineStr">
        <is>
          <t>1. Открой «Обзвон».
2. Очень быстро дважды нажми «Начать обзвон».
3. Когда появится инструкция, нажми «Пауза».
4. Запиши имя лида.
5. Обнови страницу и снова открой обзвон.</t>
        </is>
      </c>
      <c r="G14" s="2" t="inlineStr">
        <is>
          <t>Открыто одно окно с одним лидом. После перезагрузки возвращается он же; второй лид не оказался скрыто захвачен.</t>
        </is>
      </c>
      <c r="H14" s="21" t="inlineStr">
        <is>
          <t>High</t>
        </is>
      </c>
      <c r="I14" s="3" t="inlineStr">
        <is>
          <t>Not Run</t>
        </is>
      </c>
      <c r="J14" s="2" t="inlineStr">
        <is>
          <t>web|negative</t>
        </is>
      </c>
    </row>
    <row r="15" ht="96.39999999999999" customHeight="1">
      <c r="A15" s="3" t="inlineStr">
        <is>
          <t>TC-105</t>
        </is>
      </c>
      <c r="B15" s="2" t="inlineStr">
        <is>
          <t>Web/API — Очередь обзвона</t>
        </is>
      </c>
      <c r="C15" s="2" t="inlineStr">
        <is>
          <t>Настройка очереди / Режим звонков</t>
        </is>
      </c>
      <c r="D15" s="2" t="inlineStr">
        <is>
          <t>После обработки автоматически загружается следующий лид
Обзвон — непрерывный цикл. После успешного подтверждения система должна сама взять следующий доступный лид и уменьшить остаток очереди.</t>
        </is>
      </c>
      <c r="E15" s="2" t="inlineStr">
        <is>
          <t>В очереди ровно два тестовых лида. Телефония готова; для первого звонка можно выполнить ручное подтверждение.</t>
        </is>
      </c>
      <c r="F15" s="2" t="inlineStr">
        <is>
          <t>1. Начни обзвон и запиши имя первого лида и число в строке «В очереди ещё … лидов».
2. Выполни звонок и на экране итога нажми «Подтвердить».
3. Не закрывай окно обзвона.
4. Дождись следующей инструкции и запиши имя лида и остаток очереди.</t>
        </is>
      </c>
      <c r="G15" s="2" t="inlineStr">
        <is>
          <t>Без возврата на главный экран открывается другой, второй лид. Остаток очереди уменьшается; уже обработанный лид повторно не выдаётся немедленно.</t>
        </is>
      </c>
      <c r="H15" s="21" t="inlineStr">
        <is>
          <t>High</t>
        </is>
      </c>
      <c r="I15" s="3" t="inlineStr">
        <is>
          <t>Not Run</t>
        </is>
      </c>
      <c r="J15" s="2" t="inlineStr">
        <is>
          <t>web|positive</t>
        </is>
      </c>
    </row>
    <row r="16" ht="96.39999999999999" customHeight="1">
      <c r="A16" s="3" t="inlineStr">
        <is>
          <t>TC-106</t>
        </is>
      </c>
      <c r="B16" s="2" t="inlineStr">
        <is>
          <t>Web/API — Очередь обзвона</t>
        </is>
      </c>
      <c r="C16" s="2" t="inlineStr">
        <is>
          <t>Настройка очереди / Режим звонков</t>
        </is>
      </c>
      <c r="D16" s="2" t="inlineStr">
        <is>
          <t>«Пропустить» откладывает лид на 30 минут без попытки
Кнопка «Пропустить» не означает совершённый звонок: она переносит лид примерно на 30 минут и освобождает его, не увеличивая счётчик попыток.</t>
        </is>
      </c>
      <c r="E16" s="2" t="inlineStr">
        <is>
          <t>В очереди есть тестовый лид с известным номером попытки. Других доступных лидов нет.</t>
        </is>
      </c>
      <c r="F16" s="2" t="inlineStr">
        <is>
          <t>1. Нажми «Начать обзвон» и сразу «Пауза».
2. Запиши строку «Попытка» или факт «первое обращение».
3. Нажми «Пропустить».
4. Закрой окно обзвона и проверь счётчик.
5. Через карточку лида или тестовый API проверь время следующего звонка и число попыток.</t>
        </is>
      </c>
      <c r="G16" s="2" t="inlineStr">
        <is>
          <t>Лид исчезает из текущей очереди, следующее время — примерно через 30 минут (допуск 1 минута). Число попыток не изменилось.</t>
        </is>
      </c>
      <c r="H16" s="21" t="inlineStr">
        <is>
          <t>High</t>
        </is>
      </c>
      <c r="I16" s="3" t="inlineStr">
        <is>
          <t>Not Run</t>
        </is>
      </c>
      <c r="J16" s="2" t="inlineStr">
        <is>
          <t>web|api|positive</t>
        </is>
      </c>
    </row>
    <row r="17" ht="96.39999999999999" customHeight="1">
      <c r="A17" s="3" t="inlineStr">
        <is>
          <t>TC-107</t>
        </is>
      </c>
      <c r="B17" s="2" t="inlineStr">
        <is>
          <t>Web/API — Очередь обзвона</t>
        </is>
      </c>
      <c r="C17" s="2" t="inlineStr">
        <is>
          <t>Настройка очереди / Режим звонков</t>
        </is>
      </c>
      <c r="D17" s="2" t="inlineStr">
        <is>
          <t>Пропущенный лид возвращается на границе 30 минут
Проверяем точную границу переноса: до назначенного времени лид недоступен, после наступления времени снова участвует в очереди.</t>
        </is>
      </c>
      <c r="E17" s="2" t="inlineStr">
        <is>
          <t>Есть один только что пропущенный тестовый лид. Известно записанное системой время следующего звонка. Других лидов у оператора нет.</t>
        </is>
      </c>
      <c r="F17" s="2" t="inlineStr">
        <is>
          <t>1. За минуту до записанного времени открой «Обзвон» и проверь счётчик.
2. Не обновляй страницу и дождись назначенного времени.
3. Подожди не более 35 секунд для обновления счётчика.
4. Нажми «Начать обзвон».</t>
        </is>
      </c>
      <c r="G17" s="2" t="inlineStr">
        <is>
          <t>До назначенного времени счётчик равен 0. После наступления времени лид возвращается в счётчик и снова выдаётся.</t>
        </is>
      </c>
      <c r="H17" s="21" t="inlineStr">
        <is>
          <t>High</t>
        </is>
      </c>
      <c r="I17" s="3" t="inlineStr">
        <is>
          <t>Not Run</t>
        </is>
      </c>
      <c r="J17" s="2" t="inlineStr">
        <is>
          <t>web|boundary</t>
        </is>
      </c>
    </row>
    <row r="18" ht="96.39999999999999" customHeight="1">
      <c r="A18" s="3" t="inlineStr">
        <is>
          <t>TC-108</t>
        </is>
      </c>
      <c r="B18" s="2" t="inlineStr">
        <is>
          <t>Web/API — Очередь обзвона</t>
        </is>
      </c>
      <c r="C18" s="2" t="inlineStr">
        <is>
          <t>Настройка очереди / Режим звонков</t>
        </is>
      </c>
      <c r="D18" s="2" t="inlineStr">
        <is>
          <t>Очередь восстанавливается после временной потери сети
Если список очереди не загрузился из-за интернета, оператор должен увидеть ошибку и иметь возможность повторить попытку без перезагрузки всего кабинета.</t>
        </is>
      </c>
      <c r="E18" s="2" t="inlineStr">
        <is>
          <t>Оператор вошёл в систему. В инструментах браузера можно включить режим Offline.</t>
        </is>
      </c>
      <c r="F18" s="2" t="inlineStr">
        <is>
          <t>1. Включи Offline до открытия режима обзвона.
2. Открой «Обзвон» и нажми «Начать обзвон».
3. Проверь экран ошибки.
4. Верни сеть в режим Online.
5. Нажми кнопку «Повторить».</t>
        </is>
      </c>
      <c r="G18" s="2" t="inlineStr">
        <is>
          <t>Без сети показана понятная ошибка и кнопка «Повторить», чужие или старые данные лида не отображаются. После восстановления сети загружается один актуальный лид.</t>
        </is>
      </c>
      <c r="H18" s="21" t="inlineStr">
        <is>
          <t>High</t>
        </is>
      </c>
      <c r="I18" s="3" t="inlineStr">
        <is>
          <t>Not Run</t>
        </is>
      </c>
      <c r="J18" s="2" t="inlineStr">
        <is>
          <t>web|negative</t>
        </is>
      </c>
    </row>
    <row r="19" ht="96.39999999999999" customHeight="1">
      <c r="A19" s="3" t="inlineStr">
        <is>
          <t>TC-109</t>
        </is>
      </c>
      <c r="B19" s="2" t="inlineStr">
        <is>
          <t>Web/API — Очередь обзвона</t>
        </is>
      </c>
      <c r="C19" s="2" t="inlineStr">
        <is>
          <t>Настройка очереди / Режим звонков</t>
        </is>
      </c>
      <c r="D19" s="2" t="inlineStr">
        <is>
          <t>Пустые «Критерии» используют значения по умолчанию
На экране «Критерии» пустое поле означает встроенное значение. Проверяем все восемь подсказок и восстановление настроек по умолчанию.</t>
        </is>
      </c>
      <c r="E19" s="2" t="inlineStr">
        <is>
          <t>Выполнен вход под РОП. Текущие значения настроек записаны, чтобы вернуть их после теста.</t>
        </is>
      </c>
      <c r="F19" s="2" t="inlineStr">
        <is>
          <t>1. Открой «Критерии».
2. Очисти все восемь полей и нажми «Сохранить».
3. Дождись сообщения «Критерии сохранены».
4. Обнови страницу.
5. Сверь серые значения после слов «По умолчанию».</t>
        </is>
      </c>
      <c r="G19" s="2" t="inlineStr">
        <is>
          <t>Поля остаются пустыми, а подсказки показывают: 08:00, 20:00, 180 минут, 4 раза, 60 минут, 60 минут, 09:00 и 00:00. Ошибки загрузки нет.</t>
        </is>
      </c>
      <c r="H19" s="22" t="inlineStr">
        <is>
          <t>Medium</t>
        </is>
      </c>
      <c r="I19" s="3" t="inlineStr">
        <is>
          <t>Not Run</t>
        </is>
      </c>
      <c r="J19" s="2" t="inlineStr">
        <is>
          <t>web|positive</t>
        </is>
      </c>
    </row>
    <row r="20" ht="122.8" customHeight="1">
      <c r="A20" s="3" t="inlineStr">
        <is>
          <t>TC-110</t>
        </is>
      </c>
      <c r="B20" s="2" t="inlineStr">
        <is>
          <t>Web/API — Очередь обзвона</t>
        </is>
      </c>
      <c r="C20" s="2" t="inlineStr">
        <is>
          <t>Настройка очереди / Режим звонков</t>
        </is>
      </c>
      <c r="D20" s="2" t="inlineStr">
        <is>
          <t>РОП сохраняет все восемь критериев очереди
Проверяем сохранение пользовательских значений: рабочий день, интервалы, лимит попыток, время до прихода, задержку незавершённого разговора и два времени перехода.</t>
        </is>
      </c>
      <c r="E20" s="2" t="inlineStr">
        <is>
          <t>Выполнен вход под РОП. Записаны исходные настройки для восстановления после теста.</t>
        </is>
      </c>
      <c r="F20" s="2" t="inlineStr">
        <is>
          <t>1. Открой «Критерии».
2. Введи: начало 08:30, окончание 19:30, повтор 15, попыток 3, до прихода 20, незавершённый разговор 25, звонок без часа 10:15, переход в «Придёт сегодня» 00:30.
3. Нажми «Сохранить».
4. Дождись сообщения «Критерии сохранены» и обнови страницу.
5. Сверь каждое поле с введённым значением.</t>
        </is>
      </c>
      <c r="G20" s="2" t="inlineStr">
        <is>
          <t>После перезагрузки все восемь значений сохранены без округления и перестановки. Настройки другого РОП не изменились.</t>
        </is>
      </c>
      <c r="H20" s="21" t="inlineStr">
        <is>
          <t>High</t>
        </is>
      </c>
      <c r="I20" s="3" t="inlineStr">
        <is>
          <t>Not Run</t>
        </is>
      </c>
      <c r="J20" s="2" t="inlineStr">
        <is>
          <t>web|positive</t>
        </is>
      </c>
    </row>
    <row r="21" ht="96.39999999999999" customHeight="1">
      <c r="A21" s="3" t="inlineStr">
        <is>
          <t>TC-111</t>
        </is>
      </c>
      <c r="B21" s="2" t="inlineStr">
        <is>
          <t>Web/API — Очередь обзвона</t>
        </is>
      </c>
      <c r="C21" s="2" t="inlineStr">
        <is>
          <t>Настройка очереди / Режим звонков</t>
        </is>
      </c>
      <c r="D21" s="2" t="inlineStr">
        <is>
          <t>Неверные значения критериев не сохраняются
Поля времени принимают только настоящее время, числовые поля — только целые положительные числа, а начало дня должно быть раньше окончания.</t>
        </is>
      </c>
      <c r="E21" s="2" t="inlineStr">
        <is>
          <t>Выполнен вход под РОП. Открыт экран «Критерии». Исходные значения записаны.</t>
        </is>
      </c>
      <c r="F21" s="2" t="inlineStr">
        <is>
          <t>1. В поле минут по очереди попробуй 0, затем -1, затем 1.5; каждый раз нажимай «Сохранить».
2. В поле времени попробуй ввести 25:99 и нажми «Сохранить».
3. Установи начало дня 20:00, окончание 08:00 и нажми «Сохранить».
4. Обнови страницу и сравни значения с исходными.</t>
        </is>
      </c>
      <c r="G21" s="2" t="inlineStr">
        <is>
          <t>Каждый неверный вариант отклонён с понятной красной подсказкой. Исходные настройки на сервере не изменились.</t>
        </is>
      </c>
      <c r="H21" s="21" t="inlineStr">
        <is>
          <t>High</t>
        </is>
      </c>
      <c r="I21" s="3" t="inlineStr">
        <is>
          <t>Not Run</t>
        </is>
      </c>
      <c r="J21" s="2" t="inlineStr">
        <is>
          <t>web|negative</t>
        </is>
      </c>
    </row>
    <row r="22" ht="96.39999999999999" customHeight="1">
      <c r="A22" s="3" t="inlineStr">
        <is>
          <t>TC-112</t>
        </is>
      </c>
      <c r="B22" s="2" t="inlineStr">
        <is>
          <t>Web/API — Очередь обзвона</t>
        </is>
      </c>
      <c r="C22" s="2" t="inlineStr">
        <is>
          <t>Настройка очереди / Режим звонков</t>
        </is>
      </c>
      <c r="D22" s="2" t="inlineStr">
        <is>
          <t>Новый критерий действует со следующего расчёта
Изменение интервала влияет на новые расчёты очереди, но не переписывает уже сохранённое время следующего звонка.</t>
        </is>
      </c>
      <c r="E22" s="2" t="inlineStr">
        <is>
          <t>У РОП интервал «Не поднял» равен 180 минут. Лид A уже получил следующее время через 180 минут. Есть второй лид B для нового звонка.</t>
        </is>
      </c>
      <c r="F22" s="2" t="inlineStr">
        <is>
          <t>1. Под РОП измени интервал «Не поднял» на 15 минут и нажми «Сохранить».
2. Проверь ранее назначенное время лида A.
3. Под оператором выполни недозвон по лиду B и подтверди итог «Ko'tarmadi».
4. Проверь время следующего звонка обоих лидов.
5. Верни исходную настройку.</t>
        </is>
      </c>
      <c r="G22" s="2" t="inlineStr">
        <is>
          <t>У лида A остаётся старое сохранённое время. Для нового расчёта лида B используется интервал 15 минут.</t>
        </is>
      </c>
      <c r="H22" s="21" t="inlineStr">
        <is>
          <t>High</t>
        </is>
      </c>
      <c r="I22" s="3" t="inlineStr">
        <is>
          <t>Not Run</t>
        </is>
      </c>
      <c r="J22" s="2" t="inlineStr">
        <is>
          <t>web|api|boundary</t>
        </is>
      </c>
    </row>
    <row r="23" ht="96.39999999999999" customHeight="1">
      <c r="A23" s="3" t="inlineStr">
        <is>
          <t>TC-113</t>
        </is>
      </c>
      <c r="B23" s="2" t="inlineStr">
        <is>
          <t>Web/API — Очередь обзвона</t>
        </is>
      </c>
      <c r="C23" s="2" t="inlineStr">
        <is>
          <t>Настройка очереди / Режим звонков</t>
        </is>
      </c>
      <c r="D23" s="2" t="inlineStr">
        <is>
          <t>После конца рабочего дня повтор переносится на завтра
Подсказка поля «Окончание рабочего дня» обещает перенос повторных попыток на начало следующего дня. Проверяем это правило на границе рабочего времени.</t>
        </is>
      </c>
      <c r="E23" s="2" t="inlineStr">
        <is>
          <t>На тестовом РОП начало дня 08:00, конец установлен на 5 минут позже текущего времени, интервал повтора — 15 минут. Есть тестовый лид «Ko'tarmadi».</t>
        </is>
      </c>
      <c r="F23" s="2" t="inlineStr">
        <is>
          <t>1. Дождись момента за 1–2 минуты до конца рабочего дня.
2. Выполни недозвон и подтверди итог «Ko'tarmadi».
3. Проверь назначенное время следующего звонка.
4. После конца рабочего дня обнови «Обзвон».
5. Верни исходные критерии.</t>
        </is>
      </c>
      <c r="G23" s="2" t="inlineStr">
        <is>
          <t>Повтор назначен на начало следующего рабочего дня, а не через 15 минут ночью. После конца дня лид не выдаётся. Если выдаётся, поле «Окончание рабочего дня» не подключено к очереди.</t>
        </is>
      </c>
      <c r="H23" s="21" t="inlineStr">
        <is>
          <t>High</t>
        </is>
      </c>
      <c r="I23" s="3" t="inlineStr">
        <is>
          <t>Not Run</t>
        </is>
      </c>
      <c r="J23" s="2" t="inlineStr">
        <is>
          <t>web|boundary</t>
        </is>
      </c>
    </row>
    <row r="24" ht="109.6" customHeight="1">
      <c r="A24" s="3" t="inlineStr">
        <is>
          <t>TC-114</t>
        </is>
      </c>
      <c r="B24" s="2" t="inlineStr">
        <is>
          <t>Web/API — Очередь обзвона</t>
        </is>
      </c>
      <c r="C24" s="2" t="inlineStr">
        <is>
          <t>Настройка очереди / Режим звонков</t>
        </is>
      </c>
      <c r="D24" s="2" t="inlineStr">
        <is>
          <t>Договорённость без часа использует заданное время
Поле «Время звонка для договорённости без часа» должно дополнять фразу клиента вроде «позвоните в понедельник», когда конкретный час не назван.</t>
        </is>
      </c>
      <c r="E24" s="2" t="inlineStr">
        <is>
          <t>У РОП значение поля равно 10:15. Есть тестовая запись разговора, где клиент называет будущий день, но не называет час. Gemini на стенде доступен.</t>
        </is>
      </c>
      <c r="F24" s="2" t="inlineStr">
        <is>
          <t>1. Проведи тестовый звонок и произнеси: «Позвоните мне в следующий понедельник».
2. Дождись экрана «Рекомендация ИИ — подтвердите».
3. Проверь поле «Время следующего звонка (для очереди)».
4. Подтверди результат.
5. Проверь сохранённое время следующего звонка.</t>
        </is>
      </c>
      <c r="G24" s="2" t="inlineStr">
        <is>
          <t>Дата соответствует следующему понедельнику по времени Ташкента, время — 10:15. Если поле пустое или указан другой час, настройка не подключена к расчёту.</t>
        </is>
      </c>
      <c r="H24" s="21" t="inlineStr">
        <is>
          <t>High</t>
        </is>
      </c>
      <c r="I24" s="3" t="inlineStr">
        <is>
          <t>Not Run</t>
        </is>
      </c>
      <c r="J24" s="2" t="inlineStr">
        <is>
          <t>web|positive</t>
        </is>
      </c>
    </row>
  </sheetData>
  <autoFilter ref="A1:J24"/>
  <conditionalFormatting sqref="I2:I5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4" showDropDown="0" showInputMessage="0" showErrorMessage="0" allowBlank="1" errorTitle="Недопустимое значение" error="Выбери значение из списка: Critical, High, Medium, Low" type="list">
      <formula1>"Critical,High,Medium,Low"</formula1>
    </dataValidation>
    <dataValidation sqref="I2:I5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TC-115</t>
        </is>
      </c>
      <c r="B2" s="2" t="inlineStr">
        <is>
          <t>Web/API — Цикл звонка</t>
        </is>
      </c>
      <c r="C2" s="2" t="inlineStr">
        <is>
          <t>Режим звонков / Итог разговора</t>
        </is>
      </c>
      <c r="D2" s="2" t="inlineStr">
        <is>
          <t>Перед звонком показана понятная инструкция по лиду
Проверяем первый экран цикла: оператор должен понять, кому и зачем звонит, какие статусы доступны и какие поля нужно узнать у клиента.</t>
        </is>
      </c>
      <c r="E2" s="2" t="inlineStr">
        <is>
          <t>У РОП настроены текст совета, форма с обязательным и необязательным полями и статусы. В очереди оператора есть тестовый лид с именем, телефоном, суммой и статусом.</t>
        </is>
      </c>
      <c r="F2" s="2" t="inlineStr">
        <is>
          <t>1. Войди под оператором, открой «Обзвон» и нажми «Начать обзвон».
2. Сразу нажми «Пауза».
3. Сверь имя, телефон, текущий статус и сумму с тестовым лидом.
4. Прочитай блоки «Причина звонка», «Совет ИИ», «Целевые статусы» и «Поля, заполняемые ИИ».
5. Проверь, что обязательные поля отмечены маленькой цветной точкой.</t>
        </is>
      </c>
      <c r="G2" s="2" t="inlineStr">
        <is>
          <t>Данные относятся к выданному лиду. Совет совпадает с настройкой РОП. Показаны реальные статусы воронки и реальные поля формы; обязательные поля отмечены.</t>
        </is>
      </c>
      <c r="H2" s="21" t="inlineStr">
        <is>
          <t>High</t>
        </is>
      </c>
      <c r="I2" s="3" t="inlineStr">
        <is>
          <t>Not Run</t>
        </is>
      </c>
      <c r="J2" s="2" t="inlineStr">
        <is>
          <t>web|positive</t>
        </is>
      </c>
    </row>
    <row r="3" ht="96.39999999999999" customHeight="1">
      <c r="A3" s="3" t="inlineStr">
        <is>
          <t>TC-116</t>
        </is>
      </c>
      <c r="B3" s="2" t="inlineStr">
        <is>
          <t>Web/API — Цикл звонка</t>
        </is>
      </c>
      <c r="C3" s="2" t="inlineStr">
        <is>
          <t>Режим звонков / Итог разговора</t>
        </is>
      </c>
      <c r="D3" s="2" t="inlineStr">
        <is>
          <t>Первый контакт не показывает попытку 0/4
Для лида, которому ещё не звонили, блок «Причина звонка» должен говорить о первом обращении, а не показывать непонятный нулевой счётчик.</t>
        </is>
      </c>
      <c r="E3" s="2" t="inlineStr">
        <is>
          <t>В очереди есть новый лид без прошлых звонков, времени последней попытки и предыдущего статуса.</t>
        </is>
      </c>
      <c r="F3" s="2" t="inlineStr">
        <is>
          <t>1. Открой инструкцию этого лида и нажми «Пауза».
2. Найди блок «Причина звонка».
3. Прочитай главный текст и строки под ним.</t>
        </is>
      </c>
      <c r="G3" s="2" t="inlineStr">
        <is>
          <t>Показан текст «Новый лид — вы связываетесь впервые…». Нет строк «Попытка 0/4», «Прошлый этап» с пустым значением или неверного времени.</t>
        </is>
      </c>
      <c r="H3" s="22" t="inlineStr">
        <is>
          <t>Medium</t>
        </is>
      </c>
      <c r="I3" s="3" t="inlineStr">
        <is>
          <t>Not Run</t>
        </is>
      </c>
      <c r="J3" s="2" t="inlineStr">
        <is>
          <t>web|boundary</t>
        </is>
      </c>
    </row>
    <row r="4" ht="96.39999999999999" customHeight="1">
      <c r="A4" s="3" t="inlineStr">
        <is>
          <t>TC-117</t>
        </is>
      </c>
      <c r="B4" s="2" t="inlineStr">
        <is>
          <t>Web/API — Цикл звонка</t>
        </is>
      </c>
      <c r="C4" s="2" t="inlineStr">
        <is>
          <t>Режим звонков / Итог разговора</t>
        </is>
      </c>
      <c r="D4" s="2" t="inlineStr">
        <is>
          <t>Повторный звонок показывает номер попытки и прошлый этап
Оператору нужен контекст повторного обращения. Проверяем номер попытки, предыдущий этап, последнее время звонка и время встречи или прихода.</t>
        </is>
      </c>
      <c r="E4" s="2" t="inlineStr">
        <is>
          <t>Есть лид «Ko'tarmadi» с двумя завершёнными попытками из четырёх, известным предыдущим статусом и заполненным временем встречи либо прихода.</t>
        </is>
      </c>
      <c r="F4" s="2" t="inlineStr">
        <is>
          <t>1. Открой инструкцию этого лида и нажми «Пауза».
2. В блоке «Причина звонка» найди строки «Попытка», «Прошлый этап» и «Последняя попытка».
3. Если подготовлено время встречи/прихода, найди соответствующую строку.
4. Сверь каждое значение с карточкой и историей тестового лида.</t>
        </is>
      </c>
      <c r="G4" s="2" t="inlineStr">
        <is>
          <t>Показано «Попытка 2/4», правильный прошлый этап и правильные дата/время. Значения не перепутаны между лидами.</t>
        </is>
      </c>
      <c r="H4" s="21" t="inlineStr">
        <is>
          <t>High</t>
        </is>
      </c>
      <c r="I4" s="3" t="inlineStr">
        <is>
          <t>Not Run</t>
        </is>
      </c>
      <c r="J4" s="2" t="inlineStr">
        <is>
          <t>web|positive</t>
        </is>
      </c>
    </row>
    <row r="5" ht="83.19999999999999" customHeight="1">
      <c r="A5" s="3" t="inlineStr">
        <is>
          <t>TC-118</t>
        </is>
      </c>
      <c r="B5" s="2" t="inlineStr">
        <is>
          <t>Web/API — Цикл звонка</t>
        </is>
      </c>
      <c r="C5" s="2" t="inlineStr">
        <is>
          <t>Режим звонков / Итог разговора</t>
        </is>
      </c>
      <c r="D5" s="2" t="inlineStr">
        <is>
          <t>Последняя попытка выделена как важная
Перед последним разрешённым недозвоном блок причины окрашивается в янтарный цвет, чтобы предупредить оператора о возможном переводе в «Sifatsiz».</t>
        </is>
      </c>
      <c r="E5" s="2" t="inlineStr">
        <is>
          <t>Максимум попыток равен 4. Есть лид «Ko'tarmadi» с тремя уже записанными попытками.</t>
        </is>
      </c>
      <c r="F5" s="2" t="inlineStr">
        <is>
          <t>1. Открой инструкцию этого лида и нажми «Пауза».
2. Проверь строку «Попытка».
3. Сравни цвет левой полосы и заголовка блока «Причина звонка» с обычным повторным лидом.</t>
        </is>
      </c>
      <c r="G5" s="2" t="inlineStr">
        <is>
          <t>Показано «Попытка 3/4», а блок выделен янтарным цветом. Инструкция и кнопки остаются читаемыми.</t>
        </is>
      </c>
      <c r="H5" s="22" t="inlineStr">
        <is>
          <t>Medium</t>
        </is>
      </c>
      <c r="I5" s="3" t="inlineStr">
        <is>
          <t>Not Run</t>
        </is>
      </c>
      <c r="J5" s="2" t="inlineStr">
        <is>
          <t>web|boundary</t>
        </is>
      </c>
    </row>
    <row r="6" ht="96.39999999999999" customHeight="1">
      <c r="A6" s="3" t="inlineStr">
        <is>
          <t>TC-119</t>
        </is>
      </c>
      <c r="B6" s="2" t="inlineStr">
        <is>
          <t>Web/API — Цикл звонка</t>
        </is>
      </c>
      <c r="C6" s="2" t="inlineStr">
        <is>
          <t>Режим звонков / Итог разговора</t>
        </is>
      </c>
      <c r="D6" s="2" t="inlineStr">
        <is>
          <t>Неполные данные причины не ломают инструкцию
Блок причины собирается из доступных данных. Если прошлый статус или время встречи отсутствует, экран должен просто скрыть пустые строки.</t>
        </is>
      </c>
      <c r="E6" s="2" t="inlineStr">
        <is>
          <t>Есть доступный лид без предыдущего статуса, времени встречи, времени прихода и истории попыток. Имя или сумма также могут быть пустыми.</t>
        </is>
      </c>
      <c r="F6" s="2" t="inlineStr">
        <is>
          <t>1. Открой инструкцию этого лида и нажми «Пауза».
2. Просмотри блок «Причина звонка» и верхнюю строку окна.
3. Нажми «Продолжить», затем снова «Пауза».</t>
        </is>
      </c>
      <c r="G6" s="2" t="inlineStr">
        <is>
          <t>Окно открывается без белого экрана и технической ошибки. Пустые строки не показываются; для пустого имени используется «Лид без имени». Таймер и кнопки работают.</t>
        </is>
      </c>
      <c r="H6" s="21" t="inlineStr">
        <is>
          <t>High</t>
        </is>
      </c>
      <c r="I6" s="3" t="inlineStr">
        <is>
          <t>Not Run</t>
        </is>
      </c>
      <c r="J6" s="2" t="inlineStr">
        <is>
          <t>web|negative</t>
        </is>
      </c>
    </row>
    <row r="7" ht="109.6" customHeight="1">
      <c r="A7" s="3" t="inlineStr">
        <is>
          <t>TC-120</t>
        </is>
      </c>
      <c r="B7" s="2" t="inlineStr">
        <is>
          <t>Web/API — Цикл звонка</t>
        </is>
      </c>
      <c r="C7" s="2" t="inlineStr">
        <is>
          <t>Режим звонков / Итог разговора</t>
        </is>
      </c>
      <c r="D7" s="2" t="inlineStr">
        <is>
          <t>В итогах доступны только статусы воронки лида
Статус результата нельзя взять из чужой воронки или из системных этапов. Если РОП не настроил список формы, система должна подставить живые статусы AmoCRM этой воронки.</t>
        </is>
      </c>
      <c r="E7" s="2" t="inlineStr">
        <is>
          <t>У РОП две воронки с разными статусами. Для теста поочерёдно подготовлены два состояния: форма со статусами и форма без них. Есть лид в воронке A.</t>
        </is>
      </c>
      <c r="F7" s="2" t="inlineStr">
        <is>
          <t>1. Проведи тестовый звонок до экрана «Итог разговора — подтвердите».
2. Раскрой поле «Статус» и запиши варианты.
3. Проверь, что нет статусов воронки B, «Неразобранное», системных 142/143, «Yangi» и «Sifatsiz».
4. Повтори проверку после удаления настроенных статусов формы у РОП.</t>
        </is>
      </c>
      <c r="G7" s="2" t="inlineStr">
        <is>
          <t>В обоих состояниях список не пуст и содержит только допустимые живые статусы воронки A. Чужие и системные этапы выбрать нельзя.</t>
        </is>
      </c>
      <c r="H7" s="20" t="inlineStr">
        <is>
          <t>Critical</t>
        </is>
      </c>
      <c r="I7" s="3" t="inlineStr">
        <is>
          <t>Not Run</t>
        </is>
      </c>
      <c r="J7" s="2" t="inlineStr">
        <is>
          <t>web|negative</t>
        </is>
      </c>
    </row>
    <row r="8" ht="83.19999999999999" customHeight="1">
      <c r="A8" s="3" t="inlineStr">
        <is>
          <t>TC-121</t>
        </is>
      </c>
      <c r="B8" s="2" t="inlineStr">
        <is>
          <t>Web/API — Цикл звонка</t>
        </is>
      </c>
      <c r="C8" s="2" t="inlineStr">
        <is>
          <t>Режим звонков / Итог разговора</t>
        </is>
      </c>
      <c r="D8" s="2" t="inlineStr">
        <is>
          <t>Через 10 секунд номер набирается автоматически
После показа инструкции кольцевой таймер идёт от 10 до 0 и сам начинает звонок, если оператор ничего не нажал.</t>
        </is>
      </c>
      <c r="E8" s="2" t="inlineStr">
        <is>
          <t>Телефония тестового оператора готова. Есть доступный лид с тестовым номером.</t>
        </is>
      </c>
      <c r="F8" s="2" t="inlineStr">
        <is>
          <t>1. Нажми «Начать обзвон».
2. Не нажимай кнопки и наблюдай число в кольце.
3. Засеки время от появления 10 до начала набора.
4. Проверь состояние в верхней строке окна.</t>
        </is>
      </c>
      <c r="G8" s="2" t="inlineStr">
        <is>
          <t>Число уменьшается раз в секунду. Примерно через 10 секунд начинается один звонок, верхняя строка меняется на «В ЭФИРЕ».</t>
        </is>
      </c>
      <c r="H8" s="21" t="inlineStr">
        <is>
          <t>High</t>
        </is>
      </c>
      <c r="I8" s="3" t="inlineStr">
        <is>
          <t>Not Run</t>
        </is>
      </c>
      <c r="J8" s="2" t="inlineStr">
        <is>
          <t>web|boundary</t>
        </is>
      </c>
    </row>
    <row r="9" ht="83.19999999999999" customHeight="1">
      <c r="A9" s="3" t="inlineStr">
        <is>
          <t>TC-122</t>
        </is>
      </c>
      <c r="B9" s="2" t="inlineStr">
        <is>
          <t>Web/API — Цикл звонка</t>
        </is>
      </c>
      <c r="C9" s="2" t="inlineStr">
        <is>
          <t>Режим звонков / Итог разговора</t>
        </is>
      </c>
      <c r="D9" s="2" t="inlineStr">
        <is>
          <t>«Пауза» останавливает таймер, «Продолжить» возобновляет
Проверяем, что пауза действительно замораживает отсчёт, а не только меняет надпись.</t>
        </is>
      </c>
      <c r="E9" s="2" t="inlineStr">
        <is>
          <t>Открыта инструкция перед звонком, автоматический набор ещё не начался.</t>
        </is>
      </c>
      <c r="F9" s="2" t="inlineStr">
        <is>
          <t>1. Когда на кольце будет 7 или 8, нажми «Пауза».
2. Запиши число и подожди 5 секунд.
3. Убедись, что кнопка теперь называется «Продолжить».
4. Нажми «Продолжить» и наблюдай таймер.</t>
        </is>
      </c>
      <c r="G9" s="2" t="inlineStr">
        <is>
          <t>Во время паузы число не меняется и звонок не начинается. После «Продолжить» отсчёт продолжается с сохранённого числа, а не начинается заново.</t>
        </is>
      </c>
      <c r="H9" s="21" t="inlineStr">
        <is>
          <t>High</t>
        </is>
      </c>
      <c r="I9" s="3" t="inlineStr">
        <is>
          <t>Not Run</t>
        </is>
      </c>
      <c r="J9" s="2" t="inlineStr">
        <is>
          <t>web|positive</t>
        </is>
      </c>
    </row>
    <row r="10" ht="83.19999999999999" customHeight="1">
      <c r="A10" s="3" t="inlineStr">
        <is>
          <t>TC-123</t>
        </is>
      </c>
      <c r="B10" s="2" t="inlineStr">
        <is>
          <t>Web/API — Цикл звонка</t>
        </is>
      </c>
      <c r="C10" s="2" t="inlineStr">
        <is>
          <t>Режим звонков / Итог разговора</t>
        </is>
      </c>
      <c r="D10" s="2" t="inlineStr">
        <is>
          <t>«Позвонить сейчас» начинает только один звонок
Оператор может не ждать таймер. Быстрое повторное нажатие не должно создать два исходящих звонка одному клиенту.</t>
        </is>
      </c>
      <c r="E10" s="2" t="inlineStr">
        <is>
          <t>Открыта инструкция, телефония готова, тестовый телефон находится у тестировщика.</t>
        </is>
      </c>
      <c r="F10" s="2" t="inlineStr">
        <is>
          <t>1. Очень быстро дважды нажми «Позвонить сейчас».
2. Посмотри экран Operator AI и журнал входящих на тестовом телефоне.
3. Ответь на вызов и затем заверши его.</t>
        </is>
      </c>
      <c r="G10" s="2" t="inlineStr">
        <is>
          <t>Начинается ровно один вызов. Открыт один экран разговора; на телефоне нет двух параллельных или последовательных дублей от двойного клика.</t>
        </is>
      </c>
      <c r="H10" s="20" t="inlineStr">
        <is>
          <t>Critical</t>
        </is>
      </c>
      <c r="I10" s="3" t="inlineStr">
        <is>
          <t>Not Run</t>
        </is>
      </c>
      <c r="J10" s="2" t="inlineStr">
        <is>
          <t>web|negative</t>
        </is>
      </c>
    </row>
    <row r="11" ht="96.39999999999999" customHeight="1">
      <c r="A11" s="3" t="inlineStr">
        <is>
          <t>TC-124</t>
        </is>
      </c>
      <c r="B11" s="2" t="inlineStr">
        <is>
          <t>Web/API — Цикл звонка</t>
        </is>
      </c>
      <c r="C11" s="2" t="inlineStr">
        <is>
          <t>Режим звонков / Итог разговора</t>
        </is>
      </c>
      <c r="D11" s="2" t="inlineStr">
        <is>
          <t>Звонок из браузера проходит полный путь
При доступном WebRTC браузер работает как телефон. Проверяем соединение, статусы вызова, таймер разговора и ручное завершение.</t>
        </is>
      </c>
      <c r="E11" s="2" t="inlineStr">
        <is>
          <t>Для оператора настроен и зарегистрирован браузерный телефон WebRTC/Verto. Разрешён доступ браузера к микрофону. Тестовый телефон может принять вызов.</t>
        </is>
      </c>
      <c r="F11" s="2" t="inlineStr">
        <is>
          <t>1. Начни звонок и наблюдай подписи «Подключение…» и «Идёт вызов…».
2. Ответь на тестовом телефоне.
3. Убедись, что появилась подпись «Идёт разговор» и таймер 0:01, 0:02…
4. Скажи короткую тестовую фразу в микрофон.
5. Нажми «Завершить звонок».</t>
        </is>
      </c>
      <c r="G11" s="2" t="inlineStr">
        <is>
          <t>Клиент и оператор слышат друг друга. Таймер начинается только после ответа. После завершения открывается экран итога, окно не зависает в состоянии вызова.</t>
        </is>
      </c>
      <c r="H11" s="20" t="inlineStr">
        <is>
          <t>Critical</t>
        </is>
      </c>
      <c r="I11" s="3" t="inlineStr">
        <is>
          <t>Not Run</t>
        </is>
      </c>
      <c r="J11" s="2" t="inlineStr">
        <is>
          <t>web|positive</t>
        </is>
      </c>
    </row>
    <row r="12" ht="96.39999999999999" customHeight="1">
      <c r="A12" s="3" t="inlineStr">
        <is>
          <t>TC-125</t>
        </is>
      </c>
      <c r="B12" s="2" t="inlineStr">
        <is>
          <t>Web/API — Цикл звонка</t>
        </is>
      </c>
      <c r="C12" s="2" t="inlineStr">
        <is>
          <t>Режим звонков / Итог разговора</t>
        </is>
      </c>
      <c r="D12" s="2" t="inlineStr">
        <is>
          <t>При недоступном WebRTC используется звонок через сервер
Система имеет запасной путь click-to-call: когда браузерный телефон отсутствует, сервер просит OnlinePBX соединить оператора с лидом.</t>
        </is>
      </c>
      <c r="E12" s="2" t="inlineStr">
        <is>
          <t>На тестовом РОП WebRTC недоступен (запрос учётных данных возвращает 404/409), но click-to-call OnlinePBX настроен и внутренний номер оператора активен.</t>
        </is>
      </c>
      <c r="F12" s="2" t="inlineStr">
        <is>
          <t>1. Открой инструкцию и дождись, пока исчезнет текст «Браузерный телефон подключается…».
2. Нажми «Позвонить сейчас».
3. Прими сначала вызов на телефоне/софтфоне оператора, затем дождись соединения с тестовым лидом.
4. Заверши разговор и дождись экрана итога.</t>
        </is>
      </c>
      <c r="G12" s="2" t="inlineStr">
        <is>
          <t>Вызов проходит через OnlinePBX и относится к правильному лиду. Система не остаётся бесконечно на подготовке WebRTC и после звонка показывает итог.</t>
        </is>
      </c>
      <c r="H12" s="21" t="inlineStr">
        <is>
          <t>High</t>
        </is>
      </c>
      <c r="I12" s="3" t="inlineStr">
        <is>
          <t>Not Run</t>
        </is>
      </c>
      <c r="J12" s="2" t="inlineStr">
        <is>
          <t>web|positive</t>
        </is>
      </c>
    </row>
    <row r="13" ht="96.39999999999999" customHeight="1">
      <c r="A13" s="3" t="inlineStr">
        <is>
          <t>TC-126</t>
        </is>
      </c>
      <c r="B13" s="2" t="inlineStr">
        <is>
          <t>Web/API — Цикл звонка</t>
        </is>
      </c>
      <c r="C13" s="2" t="inlineStr">
        <is>
          <t>Режим звонков / Итог разговора</t>
        </is>
      </c>
      <c r="D13" s="2" t="inlineStr">
        <is>
          <t>Ошибка телефонии не считается состоявшимся звонком
Если внутренний номер выключен или OnlinePBX недоступен, оператору нужна понятная ошибка. Неудачный запуск не должен увеличить попытку или потерять лида.</t>
        </is>
      </c>
      <c r="E13" s="2" t="inlineStr">
        <is>
          <t>Для тестового оператора временно выключен внутренний номер в тестовом OnlinePBX либо настроен безопасный способ получить отказ. Известен счётчик попыток лида.</t>
        </is>
      </c>
      <c r="F13" s="2" t="inlineStr">
        <is>
          <t>1. Открой инструкцию лида и запиши номер попытки.
2. Нажми «Позвонить сейчас».
3. Прочитай сообщение об ошибке.
4. Верни телефонию в рабочее состояние.
5. Повтори звонок этому же лиду.</t>
        </is>
      </c>
      <c r="G13" s="2" t="inlineStr">
        <is>
          <t>Показана понятная ошибка начала звонка, а не белый экран. Лид остаётся доступен этому оператору, попытка не увеличилась. После восстановления звонок можно повторить.</t>
        </is>
      </c>
      <c r="H13" s="20" t="inlineStr">
        <is>
          <t>Critical</t>
        </is>
      </c>
      <c r="I13" s="3" t="inlineStr">
        <is>
          <t>Not Run</t>
        </is>
      </c>
      <c r="J13" s="2" t="inlineStr">
        <is>
          <t>web|negative</t>
        </is>
      </c>
    </row>
    <row r="14" ht="109.6" customHeight="1">
      <c r="A14" s="3" t="inlineStr">
        <is>
          <t>TC-127</t>
        </is>
      </c>
      <c r="B14" s="2" t="inlineStr">
        <is>
          <t>Web/API — Цикл звонка</t>
        </is>
      </c>
      <c r="C14" s="2" t="inlineStr">
        <is>
          <t>Режим звонков / Итог разговора</t>
        </is>
      </c>
      <c r="D14" s="2" t="inlineStr">
        <is>
          <t>Недозвон открывает ручной итог без автоматического статуса
Неотвеченный звонок не имеет записи разговора и анализа ИИ. Система должна перейти к ручному итогу, но по отмене E4 не должна заранее выбирать статус «Ko'tarmadi».</t>
        </is>
      </c>
      <c r="E14" s="2" t="inlineStr">
        <is>
          <t>В воронке есть допустимый статус «Ko'tarmadi». Тестовый телефон не будет отвечать. В контакте используется один собственный номер лида.</t>
        </is>
      </c>
      <c r="F14" s="2" t="inlineStr">
        <is>
          <t>1. Начни звонок и не отвечай на тестовом телефоне.
2. Дождись окончания вызова.
3. Проверь заголовок экрана итога и выбранное значение поля «Статус».
4. Не нажимай «Подтвердить», пока не проверишь остальные поля.</t>
        </is>
      </c>
      <c r="G14" s="2" t="inlineStr">
        <is>
          <t>Открывается «Итог разговора — подтвердите», а не рекомендация ИИ. Поле «Статус» пустое до решения человека; нет выдуманной расшифровки или итогового текста.</t>
        </is>
      </c>
      <c r="H14" s="20" t="inlineStr">
        <is>
          <t>Critical</t>
        </is>
      </c>
      <c r="I14" s="3" t="inlineStr">
        <is>
          <t>Not Run</t>
        </is>
      </c>
      <c r="J14" s="2" t="inlineStr">
        <is>
          <t>web|negative</t>
        </is>
      </c>
    </row>
    <row r="15" ht="83.19999999999999" customHeight="1">
      <c r="A15" s="3" t="inlineStr">
        <is>
          <t>TC-128</t>
        </is>
      </c>
      <c r="B15" s="2" t="inlineStr">
        <is>
          <t>Web/API — Цикл звонка</t>
        </is>
      </c>
      <c r="C15" s="2" t="inlineStr">
        <is>
          <t>Режим звонков / Итог разговора</t>
        </is>
      </c>
      <c r="D15" s="2" t="inlineStr">
        <is>
          <t>Введённое во время разговора переносится в итог
Оператор может заполнять форму прямо во время звонка. После завершения введённое не должно исчезнуть.</t>
        </is>
      </c>
      <c r="E15" s="2" t="inlineStr">
        <is>
          <t>В форме РОП есть текстовое поле и поле даты. Браузерный звонок доступен.</t>
        </is>
      </c>
      <c r="F15" s="2" t="inlineStr">
        <is>
          <t>1. Начни звонок и ответь на тестовом телефоне.
2. В блоке «Заполнение во время разговора (необязательно)» введи заметный тестовый текст и дату.
3. Нажми «Завершить звонок».
4. На экране итога найди те же поля.</t>
        </is>
      </c>
      <c r="G15" s="2" t="inlineStr">
        <is>
          <t>Оба введённых значения полностью перенесены на экран итога. Они не очищены и не заменены пустыми значениями.</t>
        </is>
      </c>
      <c r="H15" s="21" t="inlineStr">
        <is>
          <t>High</t>
        </is>
      </c>
      <c r="I15" s="3" t="inlineStr">
        <is>
          <t>Not Run</t>
        </is>
      </c>
      <c r="J15" s="2" t="inlineStr">
        <is>
          <t>web|positive</t>
        </is>
      </c>
    </row>
    <row r="16" ht="96.39999999999999" customHeight="1">
      <c r="A16" s="3" t="inlineStr">
        <is>
          <t>TC-129</t>
        </is>
      </c>
      <c r="B16" s="2" t="inlineStr">
        <is>
          <t>Web/API — Цикл звонка</t>
        </is>
      </c>
      <c r="C16" s="2" t="inlineStr">
        <is>
          <t>Режим звонков / Итог разговора</t>
        </is>
      </c>
      <c r="D16" s="2" t="inlineStr">
        <is>
          <t>Результат ИИ заполняет только оставленные оператором поля
Если анализ пришёл после ручного ввода, данные человека имеют приоритет. ИИ может дополнить только пустые поля и пустой статус.</t>
        </is>
      </c>
      <c r="E16" s="2" t="inlineStr">
        <is>
          <t>Форма содержит минимум два поля. Подготовлен разговор, из которого ИИ извлечёт значения для обоих полей. В одном поле оператор введёт другое значение вручную.</t>
        </is>
      </c>
      <c r="F16" s="2" t="inlineStr">
        <is>
          <t>1. Во время разговора заполни первое поле вручную, второе оставь пустым.
2. Заверши звонок и не подтверждай результат.
3. Дождись заголовка «Рекомендация ИИ — подтвердите» и появления меток «AI».
4. Сравни оба поля с ручным вводом и содержанием разговора.</t>
        </is>
      </c>
      <c r="G16" s="2" t="inlineStr">
        <is>
          <t>Первое поле сохраняет значение оператора. Второе пустое поле заполняется ИИ. Приход результата ИИ не стирает сделанные человеком правки.</t>
        </is>
      </c>
      <c r="H16" s="20" t="inlineStr">
        <is>
          <t>Critical</t>
        </is>
      </c>
      <c r="I16" s="3" t="inlineStr">
        <is>
          <t>Not Run</t>
        </is>
      </c>
      <c r="J16" s="2" t="inlineStr">
        <is>
          <t>web|boundary</t>
        </is>
      </c>
    </row>
    <row r="17" ht="96.39999999999999" customHeight="1">
      <c r="A17" s="3" t="inlineStr">
        <is>
          <t>TC-130</t>
        </is>
      </c>
      <c r="B17" s="2" t="inlineStr">
        <is>
          <t>Web/API — Цикл звонка</t>
        </is>
      </c>
      <c r="C17" s="2" t="inlineStr">
        <is>
          <t>Режим звонков / Итог разговора</t>
        </is>
      </c>
      <c r="D17" s="2" t="inlineStr">
        <is>
          <t>Типы полей формы отображаются правильными элементами
Дата должна открывать календарь, поле с вариантами — список, длинный текст — многострочное поле. Это снижает риск отправить в AmoCRM неверный формат.</t>
        </is>
      </c>
      <c r="E17" s="2" t="inlineStr">
        <is>
          <t>У РОП настроены поля типов date, date_time, select с вариантами и textarea. Открыт экран итога тестового звонка.</t>
        </is>
      </c>
      <c r="F17" s="2" t="inlineStr">
        <is>
          <t>1. Нажми поле даты и выбери день в календаре.
2. Нажми поле даты и времени и выбери день и час.
3. Раскрой поле с вариантами и выбери один реальный вариант AmoCRM.
4. В многострочное поле введи две строки текста.
5. Нажми «Подтвердить» и проверь значения в карточке того же лида AmoCRM.</t>
        </is>
      </c>
      <c r="G17" s="2" t="inlineStr">
        <is>
          <t>Каждое поле использует подходящий элемент. В AmoCRM у исходного лида сохранены та же дата, дата-время, выбранный вариант и обе строки текста.</t>
        </is>
      </c>
      <c r="H17" s="21" t="inlineStr">
        <is>
          <t>High</t>
        </is>
      </c>
      <c r="I17" s="3" t="inlineStr">
        <is>
          <t>Not Run</t>
        </is>
      </c>
      <c r="J17" s="2" t="inlineStr">
        <is>
          <t>web|positive</t>
        </is>
      </c>
    </row>
    <row r="18" ht="96.39999999999999" customHeight="1">
      <c r="A18" s="3" t="inlineStr">
        <is>
          <t>TC-131</t>
        </is>
      </c>
      <c r="B18" s="2" t="inlineStr">
        <is>
          <t>Web/API — Цикл звонка</t>
        </is>
      </c>
      <c r="C18" s="2" t="inlineStr">
        <is>
          <t>Режим звонков / Итог разговора</t>
        </is>
      </c>
      <c r="D18" s="2" t="inlineStr">
        <is>
          <t>Автосинхронизация ждёт завершения анализа ИИ
Пока запись ещё анализируется, пустой промежуточный результат нельзя отправлять в AmoCRM через 20 секунд.</t>
        </is>
      </c>
      <c r="E18" s="2" t="inlineStr">
        <is>
          <t>Gemini работает, но анализ тестового звонка можно задержать дольше 25 секунд. Есть доступ к истории изменений исходного лида в AmoCRM.</t>
        </is>
      </c>
      <c r="F18" s="2" t="inlineStr">
        <is>
          <t>1. Заверши отвеченный звонок.
2. На экране итога найди текст «ИИ анализирует запись звонка…».
3. Ничего не нажимай 25 секунд.
4. Проверь историю лида в AmoCRM.
5. Дождись результата ИИ и наблюдай начало отсчёта.</t>
        </is>
      </c>
      <c r="G18" s="2" t="inlineStr">
        <is>
          <t>Пока показан анализ, результат не отправляется и отсчёт не идёт. После появления полного результата начинается новый отсчёт с 20 секунд.</t>
        </is>
      </c>
      <c r="H18" s="20" t="inlineStr">
        <is>
          <t>Critical</t>
        </is>
      </c>
      <c r="I18" s="3" t="inlineStr">
        <is>
          <t>Not Run</t>
        </is>
      </c>
      <c r="J18" s="2" t="inlineStr">
        <is>
          <t>web|boundary</t>
        </is>
      </c>
    </row>
    <row r="19" ht="83.19999999999999" customHeight="1">
      <c r="A19" s="3" t="inlineStr">
        <is>
          <t>TC-132</t>
        </is>
      </c>
      <c r="B19" s="2" t="inlineStr">
        <is>
          <t>Web/API — Цикл звонка</t>
        </is>
      </c>
      <c r="C19" s="2" t="inlineStr">
        <is>
          <t>Режим звонков / Итог разговора</t>
        </is>
      </c>
      <c r="D19" s="2" t="inlineStr">
        <is>
          <t>Незаполненное обязательное поле явно отмечено
Если ИИ не нашёл обязательное значение, оператор должен увидеть, какое именно поле требует ручного заполнения.</t>
        </is>
      </c>
      <c r="E19" s="2" t="inlineStr">
        <is>
          <t>В форме есть обязательное поле. Подготовлен отвеченный звонок, в котором значение этого поля не произносится, а анализ возвращает его как пропущенное.</t>
        </is>
      </c>
      <c r="F19" s="2" t="inlineStr">
        <is>
          <t>1. Дождись результата ИИ на экране подтверждения.
2. Найди обязательное поле.
3. Проверь цвет поля и текст под ним.
4. Заполни поле вручную и проверь, что значение можно исправить до отправки.</t>
        </is>
      </c>
      <c r="G19" s="2" t="inlineStr">
        <is>
          <t>Поле помечено ошибкой и текстом «Обязательное поле не заполнено». Оператор может ввести значение; форма и остальные данные не блокируются.</t>
        </is>
      </c>
      <c r="H19" s="21" t="inlineStr">
        <is>
          <t>High</t>
        </is>
      </c>
      <c r="I19" s="3" t="inlineStr">
        <is>
          <t>Not Run</t>
        </is>
      </c>
      <c r="J19" s="2" t="inlineStr">
        <is>
          <t>web|negative</t>
        </is>
      </c>
    </row>
    <row r="20" ht="96.39999999999999" customHeight="1">
      <c r="A20" s="3" t="inlineStr">
        <is>
          <t>TC-133</t>
        </is>
      </c>
      <c r="B20" s="2" t="inlineStr">
        <is>
          <t>Web/API — Цикл звонка</t>
        </is>
      </c>
      <c r="C20" s="2" t="inlineStr">
        <is>
          <t>Режим звонков / Итог разговора</t>
        </is>
      </c>
      <c r="D20" s="2" t="inlineStr">
        <is>
          <t>Любая правка возвращает таймер подтверждения на 20 секунд
Чтобы результат не ушёл во время редактирования, изменение статуса, поля или времени следующего звонка должно заново дать оператору 20 секунд.</t>
        </is>
      </c>
      <c r="E20" s="2" t="inlineStr">
        <is>
          <t>Открыт экран итога, анализ завершён, кольцо отсчитывает время.</t>
        </is>
      </c>
      <c r="F20" s="2" t="inlineStr">
        <is>
          <t>1. Подожди, пока на кольце останется около 10 секунд.
2. Измени значение поля и посмотри на кольцо.
3. Снова дождись 10 секунд и выбери другой статус.
4. Ещё раз дождись 10 секунд и измени «Время следующего звонка (для очереди)».</t>
        </is>
      </c>
      <c r="G20" s="2" t="inlineStr">
        <is>
          <t>После каждого из трёх изменений таймер возвращается к 20. До истечения нового отсчёта данные в AmoCRM не отправляются.</t>
        </is>
      </c>
      <c r="H20" s="21" t="inlineStr">
        <is>
          <t>High</t>
        </is>
      </c>
      <c r="I20" s="3" t="inlineStr">
        <is>
          <t>Not Run</t>
        </is>
      </c>
      <c r="J20" s="2" t="inlineStr">
        <is>
          <t>web|boundary</t>
        </is>
      </c>
    </row>
    <row r="21" ht="83.19999999999999" customHeight="1">
      <c r="A21" s="3" t="inlineStr">
        <is>
          <t>TC-134</t>
        </is>
      </c>
      <c r="B21" s="2" t="inlineStr">
        <is>
          <t>Web/API — Цикл звонка</t>
        </is>
      </c>
      <c r="C21" s="2" t="inlineStr">
        <is>
          <t>Режим звонков / Итог разговора</t>
        </is>
      </c>
      <c r="D21" s="2" t="inlineStr">
        <is>
          <t>Пауза останавливает 20-секундную автосинхронизацию
Значок паузы рядом с отсчётом даёт оператору неограниченное время проверить итог.</t>
        </is>
      </c>
      <c r="E21" s="2" t="inlineStr">
        <is>
          <t>Открыт экран итога, анализ завершён и идёт отсчёт.</t>
        </is>
      </c>
      <c r="F21" s="2" t="inlineStr">
        <is>
          <t>1. Нажми маленький значок паузы рядом с текстом об автосинхронизации.
2. Запиши число на кольце.
3. Подожди 25 секунд и проверь историю лида в AmoCRM.
4. Нажми значок продолжения и наблюдай отсчёт.</t>
        </is>
      </c>
      <c r="G21" s="2" t="inlineStr">
        <is>
          <t>Появляется текст «Авто-синхронизация остановлена», число не меняется, данные не отправляются. После продолжения отсчёт идёт с сохранённого числа.</t>
        </is>
      </c>
      <c r="H21" s="21" t="inlineStr">
        <is>
          <t>High</t>
        </is>
      </c>
      <c r="I21" s="3" t="inlineStr">
        <is>
          <t>Not Run</t>
        </is>
      </c>
      <c r="J21" s="2" t="inlineStr">
        <is>
          <t>web|positive</t>
        </is>
      </c>
    </row>
    <row r="22" ht="96.39999999999999" customHeight="1">
      <c r="A22" s="3" t="inlineStr">
        <is>
          <t>TC-135</t>
        </is>
      </c>
      <c r="B22" s="2" t="inlineStr">
        <is>
          <t>Web/API — Цикл звонка</t>
        </is>
      </c>
      <c r="C22" s="2" t="inlineStr">
        <is>
          <t>Режим звонков / Итог разговора</t>
        </is>
      </c>
      <c r="D22" s="2" t="inlineStr">
        <is>
          <t>Через 20 секунд бездействия итог сам уходит в AmoCRM
Проверяем принятое поведение R-8: если оператор не действует, готовый итог автоматически синхронизируется ровно один раз.</t>
        </is>
      </c>
      <c r="E22" s="2" t="inlineStr">
        <is>
          <t>Открыт полный результат ИИ с допустимым статусом и значениями. История исходного лида AmoCRM открыта в другой вкладке.</t>
        </is>
      </c>
      <c r="F22" s="2" t="inlineStr">
        <is>
          <t>1. Ничего не нажимай на экране итога.
2. Наблюдай кольцо от 20 до 0.
3. После нуля дождись сообщения «Отправлено в AmoCRM».
4. Обнови историю исходного лида в AmoCRM.</t>
        </is>
      </c>
      <c r="G22" s="2" t="inlineStr">
        <is>
          <t>Примерно через 20 секунд результат отправлен один раз. Изменён исходный лид, появилась одна запись об изменении; новый дубль сделки не создан.</t>
        </is>
      </c>
      <c r="H22" s="21" t="inlineStr">
        <is>
          <t>High</t>
        </is>
      </c>
      <c r="I22" s="3" t="inlineStr">
        <is>
          <t>Not Run</t>
        </is>
      </c>
      <c r="J22" s="2" t="inlineStr">
        <is>
          <t>web|boundary</t>
        </is>
      </c>
    </row>
    <row r="23" ht="109.6" customHeight="1">
      <c r="A23" s="3" t="inlineStr">
        <is>
          <t>TC-136</t>
        </is>
      </c>
      <c r="B23" s="2" t="inlineStr">
        <is>
          <t>Web/API — Цикл звонка</t>
        </is>
      </c>
      <c r="C23" s="2" t="inlineStr">
        <is>
          <t>Режим звонков / Итог разговора</t>
        </is>
      </c>
      <c r="D23" s="2" t="inlineStr">
        <is>
          <t>Ручное подтверждение обновляет исходного лида
Когда анализа ИИ нет, кнопка «Подтвердить» всё равно должна передать выбранный статус и вручную заполненные поля в ту же сделку AmoCRM.</t>
        </is>
      </c>
      <c r="E23" s="2" t="inlineStr">
        <is>
          <t>Выполнен неотвеченный или браузерный звонок без результата ИИ. Известны ID и число сделок в тестовой воронке до подтверждения.</t>
        </is>
      </c>
      <c r="F23" s="2" t="inlineStr">
        <is>
          <t>1. На экране «Итог разговора — подтвердите» выбери допустимый статус.
2. Заполни два поля заметными тестовыми значениями.
3. Нажми «Подтвердить».
4. Дождись сообщения «Отправлено в AmoCRM».
5. Открой исходную сделку по прежнему ID и обнови список сделок.</t>
        </is>
      </c>
      <c r="G23" s="2" t="inlineStr">
        <is>
          <t>Статус и оба поля появились в исходной сделке. Её ID не изменился, общее число сделок не выросло — новая сделка не создана.</t>
        </is>
      </c>
      <c r="H23" s="20" t="inlineStr">
        <is>
          <t>Critical</t>
        </is>
      </c>
      <c r="I23" s="3" t="inlineStr">
        <is>
          <t>Not Run</t>
        </is>
      </c>
      <c r="J23" s="2" t="inlineStr">
        <is>
          <t>web|positive</t>
        </is>
      </c>
    </row>
    <row r="24" ht="96.39999999999999" customHeight="1">
      <c r="A24" s="3" t="inlineStr">
        <is>
          <t>TC-137</t>
        </is>
      </c>
      <c r="B24" s="2" t="inlineStr">
        <is>
          <t>Web/API — Цикл звонка</t>
        </is>
      </c>
      <c r="C24" s="2" t="inlineStr">
        <is>
          <t>Режим звонков / Итог разговора</t>
        </is>
      </c>
      <c r="D24" s="2" t="inlineStr">
        <is>
          <t>Подтверждение рекомендации ИИ обновляет исходного лида
Полный путь с записью и ИИ должен изменять уже захваченного лида, а не создавать новую сделку. Это регрессия критического риска синхронизации R-3.</t>
        </is>
      </c>
      <c r="E24" s="2" t="inlineStr">
        <is>
          <t>Получен полный результат ИИ. До звонка записаны ID исходного лида и число сделок в воронке. В тестовом разговоре названы значения полей.</t>
        </is>
      </c>
      <c r="F24" s="2" t="inlineStr">
        <is>
          <t>1. На экране «Рекомендация ИИ — подтвердите» проверь статус и значения.
2. При необходимости исправь одно значение.
3. Нажми «Подтвердить».
4. Открой в AmoCRM сделку по записанному ID.
5. Сверь статус, поля и итоговое примечание; затем пересчитай сделки.</t>
        </is>
      </c>
      <c r="G24" s="2" t="inlineStr">
        <is>
          <t>Обновлена именно исходная сделка: статус, значения и примечание соответствуют подтверждённым. Новая сделка не появилась, другие лиды не изменились.</t>
        </is>
      </c>
      <c r="H24" s="20" t="inlineStr">
        <is>
          <t>Critical</t>
        </is>
      </c>
      <c r="I24" s="3" t="inlineStr">
        <is>
          <t>Not Run</t>
        </is>
      </c>
      <c r="J24" s="2" t="inlineStr">
        <is>
          <t>web|positive</t>
        </is>
      </c>
    </row>
    <row r="25" ht="109.6" customHeight="1">
      <c r="A25" s="3" t="inlineStr">
        <is>
          <t>TC-138</t>
        </is>
      </c>
      <c r="B25" s="2" t="inlineStr">
        <is>
          <t>Web/API — Цикл звонка</t>
        </is>
      </c>
      <c r="C25" s="2" t="inlineStr">
        <is>
          <t>Режим звонков / Итог разговора</t>
        </is>
      </c>
      <c r="D25" s="2" t="inlineStr">
        <is>
          <t>Время следующего звонка сохраняется и откладывает лид
Оператор может вручную назначить точное время повторного звонка. Подтверждение должно записать одну попытку и убрать лид из очереди до указанного времени.</t>
        </is>
      </c>
      <c r="E25" s="2" t="inlineStr">
        <is>
          <t>Открыт экран итога. Известен текущий номер попытки лида. Других доступных лидов нет.</t>
        </is>
      </c>
      <c r="F25" s="2" t="inlineStr">
        <is>
          <t>1. В поле «Время следующего звонка (для очереди)» выбери время через 10 минут.
2. Нажми «Подтвердить».
3. Закрой окно обзвона и проверь счётчик.
4. Через карточку или тестовый API проверь сохранённое время и число попыток.
5. После назначенного времени дождись обновления счётчика.</t>
        </is>
      </c>
      <c r="G25" s="2" t="inlineStr">
        <is>
          <t>Попытка увеличилась ровно на 1. Лид отсутствует в очереди до выбранного времени и возвращается после него; сохранённое время совпадает с выбранным по Ташкенту.</t>
        </is>
      </c>
      <c r="H25" s="20" t="inlineStr">
        <is>
          <t>Critical</t>
        </is>
      </c>
      <c r="I25" s="3" t="inlineStr">
        <is>
          <t>Not Run</t>
        </is>
      </c>
      <c r="J25" s="2" t="inlineStr">
        <is>
          <t>web|api|positive</t>
        </is>
      </c>
    </row>
    <row r="26" ht="96.39999999999999" customHeight="1">
      <c r="A26" s="3" t="inlineStr">
        <is>
          <t>TC-139</t>
        </is>
      </c>
      <c r="B26" s="2" t="inlineStr">
        <is>
          <t>Web/API — Цикл звонка</t>
        </is>
      </c>
      <c r="C26" s="2" t="inlineStr">
        <is>
          <t>Режим звонков / Итог разговора</t>
        </is>
      </c>
      <c r="D26" s="2" t="inlineStr">
        <is>
          <t>Двойное нажатие «Подтвердить» не дублирует результат
Медленный ответ сети может заставить человека нажать кнопку повторно. Итог, попытка и изменение AmoCRM должны быть записаны только один раз.</t>
        </is>
      </c>
      <c r="E26" s="2" t="inlineStr">
        <is>
          <t>Открыт экран итога. Записаны номер попытки и история исходной сделки.</t>
        </is>
      </c>
      <c r="F26" s="2" t="inlineStr">
        <is>
          <t>1. Очень быстро дважды нажми «Подтвердить».
2. Дождись окончания загрузки.
3. Проверь число сообщений «Отправлено в AmoCRM».
4. Обнови историю сделки и номер попытки лида.</t>
        </is>
      </c>
      <c r="G26" s="2" t="inlineStr">
        <is>
          <t>Уходит одно подтверждение: одно сообщение, одна запись изменения и увеличение попытки ровно на 1. Новый лид или дубликат результата не создаётся.</t>
        </is>
      </c>
      <c r="H26" s="20" t="inlineStr">
        <is>
          <t>Critical</t>
        </is>
      </c>
      <c r="I26" s="3" t="inlineStr">
        <is>
          <t>Not Run</t>
        </is>
      </c>
      <c r="J26" s="2" t="inlineStr">
        <is>
          <t>web|negative</t>
        </is>
      </c>
    </row>
    <row r="27" ht="96.39999999999999" customHeight="1">
      <c r="A27" s="3" t="inlineStr">
        <is>
          <t>TC-140</t>
        </is>
      </c>
      <c r="B27" s="2" t="inlineStr">
        <is>
          <t>Web/API — Цикл звонка</t>
        </is>
      </c>
      <c r="C27" s="2" t="inlineStr">
        <is>
          <t>Режим звонков / Итог разговора</t>
        </is>
      </c>
      <c r="D27" s="2" t="inlineStr">
        <is>
          <t>Длинный текст не обрезается молча
Проверяем граничное значение текстового поля. Система не должна зависнуть, самовольно обрезать текст или сохранить только часть без предупреждения.</t>
        </is>
      </c>
      <c r="E27" s="2" t="inlineStr">
        <is>
          <t>В форме есть многострочное текстовое поле, связанное с тестовым полем AmoCRM. Открыт экран ручного итога.</t>
        </is>
      </c>
      <c r="F27" s="2" t="inlineStr">
        <is>
          <t>1. Вставь в многострочное поле текст длиной примерно 1000 символов с русскими и узбекскими буквами.
2. Выбери допустимый статус и нажми «Подтвердить».
3. Дождись сообщения об отправке.
4. Открой исходный лид в AmoCRM и сравни сохранённый текст посимвольно.</t>
        </is>
      </c>
      <c r="G27" s="2" t="inlineStr">
        <is>
          <t>Страница не зависает. Если лимит позволяет — сохранён весь текст без повреждения символов; если лимит превышен — до отправки показана явная ошибка с допустимой длиной. Молчаливого обрезания нет.</t>
        </is>
      </c>
      <c r="H27" s="22" t="inlineStr">
        <is>
          <t>Medium</t>
        </is>
      </c>
      <c r="I27" s="3" t="inlineStr">
        <is>
          <t>Not Run</t>
        </is>
      </c>
      <c r="J27" s="2" t="inlineStr">
        <is>
          <t>web|boundary</t>
        </is>
      </c>
    </row>
    <row r="28" ht="96.39999999999999" customHeight="1">
      <c r="A28" s="3" t="inlineStr">
        <is>
          <t>TC-141</t>
        </is>
      </c>
      <c r="B28" s="2" t="inlineStr">
        <is>
          <t>Web/API — Цикл звонка</t>
        </is>
      </c>
      <c r="C28" s="2" t="inlineStr">
        <is>
          <t>Режим звонков / Итог разговора</t>
        </is>
      </c>
      <c r="D28" s="2" t="inlineStr">
        <is>
          <t>Потеря сети при подтверждении не теряет введённые данные
Критический отрицательный сценарий: при обрыве интернета оператор должен сохранить форму и безопасно повторить отправку после восстановления связи.</t>
        </is>
      </c>
      <c r="E28" s="2" t="inlineStr">
        <is>
          <t>Открыт экран итога. Введены заметные значения, выбран статус. Инструменты браузера позволяют включить Offline.</t>
        </is>
      </c>
      <c r="F28" s="2" t="inlineStr">
        <is>
          <t>1. Включи режим Offline.
2. Нажми «Подтвердить».
3. Проверь сообщение об ошибке и все введённые поля.
4. Верни сеть в режим Online.
5. Нажми «Подтвердить» ещё раз.
6. Проверь исходную сделку и номер попытки.</t>
        </is>
      </c>
      <c r="G28" s="2" t="inlineStr">
        <is>
          <t>При ошибке форма остаётся на экране со всеми значениями, попытка ещё не записана. После повторной отправки исходный лид обновлён один раз, попытка увеличена на 1.</t>
        </is>
      </c>
      <c r="H28" s="20" t="inlineStr">
        <is>
          <t>Critical</t>
        </is>
      </c>
      <c r="I28" s="3" t="inlineStr">
        <is>
          <t>Not Run</t>
        </is>
      </c>
      <c r="J28" s="2" t="inlineStr">
        <is>
          <t>web|negative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TC-142</t>
        </is>
      </c>
      <c r="B2" s="2" t="inlineStr">
        <is>
          <t>Web/API — AI-анализ</t>
        </is>
      </c>
      <c r="C2" s="2" t="inlineStr">
        <is>
          <t>Транскрипция / Анализ / Подтверждение</t>
        </is>
      </c>
      <c r="D2" s="2" t="inlineStr">
        <is>
          <t>Отвеченный звонок известного оператора анализируется автоматически
AI должен запускаться только для настоящего разговора, который система может связать с оператором. Проверяем основной путь: запись, транскрипт, резюме и форма.</t>
        </is>
      </c>
      <c r="E2" s="2" t="inlineStr">
        <is>
          <t>Gemini доступен. У оператора заполнен действующий внутренний номер OnlinePBX. Тестовый звонок принят, длительность разговора больше 0 секунд, запись доступна.</t>
        </is>
      </c>
      <c r="F2" s="2" t="inlineStr">
        <is>
          <t>1. Проведи короткий тестовый разговор через Operator AI.
2. Открой «Звонки» и найди эту сделку.
3. Открой строку звонка, затем страницу «Транскрипт звонка».
4. Подожди завершения фоновой обработки, не нажимая «Анализировать».
5. Обнови страницу один раз.</t>
        </is>
      </c>
      <c r="G2" s="2" t="inlineStr">
        <is>
          <t>Без ручного запуска появляется отметка «Проанализировано», текст разговора, краткое резюме и найденные значения формы. Результат относится к нужному звонку.</t>
        </is>
      </c>
      <c r="H2" s="20" t="inlineStr">
        <is>
          <t>Critical</t>
        </is>
      </c>
      <c r="I2" s="3" t="inlineStr">
        <is>
          <t>Not Run</t>
        </is>
      </c>
      <c r="J2" s="2" t="inlineStr">
        <is>
          <t>web|positive</t>
        </is>
      </c>
    </row>
    <row r="3" ht="83.19999999999999" customHeight="1">
      <c r="A3" s="3" t="inlineStr">
        <is>
          <t>TC-143</t>
        </is>
      </c>
      <c r="B3" s="2" t="inlineStr">
        <is>
          <t>Web/API — AI-анализ</t>
        </is>
      </c>
      <c r="C3" s="2" t="inlineStr">
        <is>
          <t>Транскрипция / Анализ / Подтверждение</t>
        </is>
      </c>
      <c r="D3" s="2" t="inlineStr">
        <is>
          <t>Звонок с нулевой длительностью не отправляется в Gemini
Недозвон, где никто не говорил, не должен расходовать AI-квоту и создавать выдуманную транскрипцию.</t>
        </is>
      </c>
      <c r="E3" s="2" t="inlineStr">
        <is>
          <t>Есть звонок известного оператора с `dialog_duration = 0`. Доступны журнал приложения на staging и карточка звонка.</t>
        </is>
      </c>
      <c r="F3" s="2" t="inlineStr">
        <is>
          <t>1. Открой карточку этого звонка.
2. Подожди два цикла загрузки истории — около 70 секунд.
3. Открой «Транскрипт звонка».
4. Проверь журнал staging по ID звонка.</t>
        </is>
      </c>
      <c r="G3" s="2" t="inlineStr">
        <is>
          <t>Звонок остаётся «Не проанализировано», транскрипт и резюме пусты. В журнале нет запроса этого звонка к Gemini и нет бесконечных повторов.</t>
        </is>
      </c>
      <c r="H3" s="21" t="inlineStr">
        <is>
          <t>High</t>
        </is>
      </c>
      <c r="I3" s="3" t="inlineStr">
        <is>
          <t>Not Run</t>
        </is>
      </c>
      <c r="J3" s="2" t="inlineStr">
        <is>
          <t>web|api|negative</t>
        </is>
      </c>
    </row>
    <row r="4" ht="96.39999999999999" customHeight="1">
      <c r="A4" s="3" t="inlineStr">
        <is>
          <t>TC-144</t>
        </is>
      </c>
      <c r="B4" s="2" t="inlineStr">
        <is>
          <t>Web/API — AI-анализ</t>
        </is>
      </c>
      <c r="C4" s="2" t="inlineStr">
        <is>
          <t>Транскрипция / Анализ / Подтверждение</t>
        </is>
      </c>
      <c r="D4" s="2" t="inlineStr">
        <is>
          <t>Звонок без найденного оператора не анализируется
Если внутренний номер не принадлежит оператору данного РОП, система не должна тратить Gemini на чужой разговор или показывать его оператору.</t>
        </is>
      </c>
      <c r="E4" s="2" t="inlineStr">
        <is>
          <t>В тестовом OnlinePBX есть завершённый отвеченный звонок с внутреннего номера, который не назначен ни одному оператору тестового РОП.</t>
        </is>
      </c>
      <c r="F4" s="2" t="inlineStr">
        <is>
          <t>1. Дождись загрузки истории OnlinePBX.
2. Под оператором открой «Звонки» и попробуй найти этот звонок.
3. Под РОП открой карточки операторов и их записи звонков.
4. Проверь журнал staging по UUID звонка.</t>
        </is>
      </c>
      <c r="G4" s="2" t="inlineStr">
        <is>
          <t>Чужой звонок не появляется у операторов и не отправляется в Gemini. Расшифровки, формы и расхода AI по этому UUID нет.</t>
        </is>
      </c>
      <c r="H4" s="20" t="inlineStr">
        <is>
          <t>Critical</t>
        </is>
      </c>
      <c r="I4" s="3" t="inlineStr">
        <is>
          <t>Not Run</t>
        </is>
      </c>
      <c r="J4" s="2" t="inlineStr">
        <is>
          <t>web|api|negative</t>
        </is>
      </c>
    </row>
    <row r="5" ht="96.39999999999999" customHeight="1">
      <c r="A5" s="3" t="inlineStr">
        <is>
          <t>TC-145</t>
        </is>
      </c>
      <c r="B5" s="2" t="inlineStr">
        <is>
          <t>Web/API — AI-анализ</t>
        </is>
      </c>
      <c r="C5" s="2" t="inlineStr">
        <is>
          <t>Транскрипция / Анализ / Подтверждение</t>
        </is>
      </c>
      <c r="D5" s="2" t="inlineStr">
        <is>
          <t>Звонок из другой выбранной воронки не расходует AI
Когда РОП выбрал рабочую воронку, автоматический AI обрабатывает только звонки лидов этой воронки. Это защищает общий аккаунт телефонии от лишних расходов.</t>
        </is>
      </c>
      <c r="E5" s="2" t="inlineStr">
        <is>
          <t>У РОП две воронки A и B. В «Правилах» выбрана A. Есть по одному отвеченному звонку известного оператора по лидам A и B.</t>
        </is>
      </c>
      <c r="F5" s="2" t="inlineStr">
        <is>
          <t>1. Дождись загрузки обоих звонков.
2. Открой транскрипт звонка лида A.
3. Открой транскрипт звонка лида B.
4. Сравни отметки анализа и проверь журнал по двум ID.</t>
        </is>
      </c>
      <c r="G5" s="2" t="inlineStr">
        <is>
          <t>Звонок лида A анализируется автоматически. Звонок лида B не отправляется в Gemini автоматически и остаётся «Не проанализировано».</t>
        </is>
      </c>
      <c r="H5" s="21" t="inlineStr">
        <is>
          <t>High</t>
        </is>
      </c>
      <c r="I5" s="3" t="inlineStr">
        <is>
          <t>Not Run</t>
        </is>
      </c>
      <c r="J5" s="2" t="inlineStr">
        <is>
          <t>web|api|negative</t>
        </is>
      </c>
    </row>
    <row r="6" ht="109.6" customHeight="1">
      <c r="A6" s="3" t="inlineStr">
        <is>
          <t>TC-146</t>
        </is>
      </c>
      <c r="B6" s="2" t="inlineStr">
        <is>
          <t>Web/API — AI-анализ</t>
        </is>
      </c>
      <c r="C6" s="2" t="inlineStr">
        <is>
          <t>Транскрипция / Анализ / Подтверждение</t>
        </is>
      </c>
      <c r="D6" s="2" t="inlineStr">
        <is>
          <t>Успешный автоматический анализ выполняется один раз
Повторная доставка вебхука и повторный опрос истории не должны снова отправлять уже готовую запись в Gemini.</t>
        </is>
      </c>
      <c r="E6" s="2" t="inlineStr">
        <is>
          <t>Один тестовый звонок уже получил транскрипт, резюме и сегменты. Доступны журнал staging и UUID звонка.</t>
        </is>
      </c>
      <c r="F6" s="2" t="inlineStr">
        <is>
          <t>1. Запиши время сообщения об успешном анализе в журнале.
2. Подожди три цикла опроса истории — около 100 секунд.
3. Если есть безопасный способ, повторно доставь тот же тестовый вебхук.
4. Обнови страницу транскрипта.
5. Снова найди UUID звонка в журнале.</t>
        </is>
      </c>
      <c r="G6" s="2" t="inlineStr">
        <is>
          <t>Транскрипт не дублируется и не меняется самопроизвольно. В журнале ровно один успешный автоматический запуск Gemini для этого звонка.</t>
        </is>
      </c>
      <c r="H6" s="21" t="inlineStr">
        <is>
          <t>High</t>
        </is>
      </c>
      <c r="I6" s="3" t="inlineStr">
        <is>
          <t>Not Run</t>
        </is>
      </c>
      <c r="J6" s="2" t="inlineStr">
        <is>
          <t>web|api|negative</t>
        </is>
      </c>
    </row>
    <row r="7" ht="109.6" customHeight="1">
      <c r="A7" s="3" t="inlineStr">
        <is>
          <t>TC-147</t>
        </is>
      </c>
      <c r="B7" s="2" t="inlineStr">
        <is>
          <t>Web/API — AI-анализ</t>
        </is>
      </c>
      <c r="C7" s="2" t="inlineStr">
        <is>
          <t>Транскрипция / Анализ / Подтверждение</t>
        </is>
      </c>
      <c r="D7" s="2" t="inlineStr">
        <is>
          <t>Неудачный автоанализ не создаёт бесконечный фон повторов
В текущем коде автоматическая попытка выполняется один раз. После ошибки звонок оставляется оператору для ручного повторного запуска — так сервис не копит опасный backlog.</t>
        </is>
      </c>
      <c r="E7" s="2" t="inlineStr">
        <is>
          <t>На staging безопасно вызвана временная ошибка Gemini для одного нового звонка с записью. Известны ID звонка и время первой ошибки.</t>
        </is>
      </c>
      <c r="F7" s="2" t="inlineStr">
        <is>
          <t>1. Дождись первой ошибки автоматического анализа.
2. Не нажимай кнопки на странице звонка.
3. Подожди 3 минуты и наблюдай журнал и состояние сервиса.
4. Открой «Транскрипт звонка».</t>
        </is>
      </c>
      <c r="G7" s="2" t="inlineStr">
        <is>
          <t>После первой автоматической ошибки новых фоновых попыток по этому ID нет. Сервис продолжает отвечать, страница показывает «Повторить анализ».</t>
        </is>
      </c>
      <c r="H7" s="20" t="inlineStr">
        <is>
          <t>Critical</t>
        </is>
      </c>
      <c r="I7" s="3" t="inlineStr">
        <is>
          <t>Not Run</t>
        </is>
      </c>
      <c r="J7" s="2" t="inlineStr">
        <is>
          <t>web|api|negative</t>
        </is>
      </c>
    </row>
    <row r="8" ht="83.19999999999999" customHeight="1">
      <c r="A8" s="3" t="inlineStr">
        <is>
          <t>TC-148</t>
        </is>
      </c>
      <c r="B8" s="2" t="inlineStr">
        <is>
          <t>Web/API — AI-анализ</t>
        </is>
      </c>
      <c r="C8" s="2" t="inlineStr">
        <is>
          <t>Транскрипция / Анализ / Подтверждение</t>
        </is>
      </c>
      <c r="D8" s="2" t="inlineStr">
        <is>
          <t>«Повторить анализ» восстанавливает неудачный звонок
Оператор должен вручную перезапустить конкретный звонок после восстановления Gemini или пополнения лимита.</t>
        </is>
      </c>
      <c r="E8" s="2" t="inlineStr">
        <is>
          <t>Есть звонок из TC-147 без транскрипта. Gemini снова доступен, аудиозапись сохранена.</t>
        </is>
      </c>
      <c r="F8" s="2" t="inlineStr">
        <is>
          <t>1. Открой страницу «Транскрипт звонка».
2. Нажми «Повторить анализ».
3. Не нажимай кнопку повторно во время загрузки.
4. Дождись отметки «Проанализировано».
5. Проверь транскрипт, резюме и «Форму, заполненную ИИ».</t>
        </is>
      </c>
      <c r="G8" s="2" t="inlineStr">
        <is>
          <t>Ручной повтор запускается один раз и успешно заполняет все блоки. Ошибка исчезает, а другой звонок не изменяется.</t>
        </is>
      </c>
      <c r="H8" s="20" t="inlineStr">
        <is>
          <t>Critical</t>
        </is>
      </c>
      <c r="I8" s="3" t="inlineStr">
        <is>
          <t>Not Run</t>
        </is>
      </c>
      <c r="J8" s="2" t="inlineStr">
        <is>
          <t>web|positive</t>
        </is>
      </c>
    </row>
    <row r="9" ht="96.39999999999999" customHeight="1">
      <c r="A9" s="3" t="inlineStr">
        <is>
          <t>TC-149</t>
        </is>
      </c>
      <c r="B9" s="2" t="inlineStr">
        <is>
          <t>Web/API — AI-анализ</t>
        </is>
      </c>
      <c r="C9" s="2" t="inlineStr">
        <is>
          <t>Транскрипция / Анализ / Подтверждение</t>
        </is>
      </c>
      <c r="D9" s="2" t="inlineStr">
        <is>
          <t>Отсутствующая аудиозапись даёт понятную ошибку
«Мёртвый» звонок без файла записи не должен ронять сервис, бесконечно повторяться или создавать пустой выдуманный текст.</t>
        </is>
      </c>
      <c r="E9" s="2" t="inlineStr">
        <is>
          <t>Есть тестовое событие звонка без `audio_object_key` и без рабочей ссылки на запись.</t>
        </is>
      </c>
      <c r="F9" s="2" t="inlineStr">
        <is>
          <t>1. Открой звонок со статусом «Не проанализировано».
2. Нажми «Анализировать».
3. Прочитай сообщение об ошибке.
4. Обнови страницу и повтори действие один раз.
5. Проверь доступность других страниц Operator AI.</t>
        </is>
      </c>
      <c r="G9" s="2" t="inlineStr">
        <is>
          <t>Показана понятная ошибка отсутствия аудио, транскрипт не придуман. Другие страницы работают; фоновая лавина запросов и ошибка 502 не возникают.</t>
        </is>
      </c>
      <c r="H9" s="20" t="inlineStr">
        <is>
          <t>Critical</t>
        </is>
      </c>
      <c r="I9" s="3" t="inlineStr">
        <is>
          <t>Not Run</t>
        </is>
      </c>
      <c r="J9" s="2" t="inlineStr">
        <is>
          <t>web|negative</t>
        </is>
      </c>
    </row>
    <row r="10" ht="109.6" customHeight="1">
      <c r="A10" s="3" t="inlineStr">
        <is>
          <t>TC-150</t>
        </is>
      </c>
      <c r="B10" s="2" t="inlineStr">
        <is>
          <t>Web/API — AI-анализ</t>
        </is>
      </c>
      <c r="C10" s="2" t="inlineStr">
        <is>
          <t>Транскрипция / Анализ / Подтверждение</t>
        </is>
      </c>
      <c r="D10" s="2" t="inlineStr">
        <is>
          <t>Одновременно анализируются не более трёх звонков
Регрессия на падение staging: множество записей не должны одновременно занять всю память. Код ограничивает расшифровку тремя параллельными задачами.</t>
        </is>
      </c>
      <c r="E10" s="2" t="inlineStr">
        <is>
          <t>Подготовлено 6 коротких отвеченных звонков с аудио. Доступны журнал и график памяти тестового контейнера. Проверка выполняется только на staging.</t>
        </is>
      </c>
      <c r="F10" s="2" t="inlineStr">
        <is>
          <t>1. Одновременно доставь в staging шесть тестовых событий звонков.
2. Наблюдай журнал начала и завершения анализа каждого ID.
3. В течение обработки обновляй страницу входа и раздел «Звонки».
4. После завершения посчитай максимальное число одновременно выполнявшихся анализов.</t>
        </is>
      </c>
      <c r="G10" s="2" t="inlineStr">
        <is>
          <t>Одновременно выполняется не более 3 расшифровок; остальные ждут. Staging не перезапускается, отвечает без 502, после очереди обработаны все шесть звонков.</t>
        </is>
      </c>
      <c r="H10" s="20" t="inlineStr">
        <is>
          <t>Critical</t>
        </is>
      </c>
      <c r="I10" s="3" t="inlineStr">
        <is>
          <t>Not Run</t>
        </is>
      </c>
      <c r="J10" s="2" t="inlineStr">
        <is>
          <t>api|boundary</t>
        </is>
      </c>
    </row>
    <row r="11" ht="122.8" customHeight="1">
      <c r="A11" s="3" t="inlineStr">
        <is>
          <t>TC-151</t>
        </is>
      </c>
      <c r="B11" s="2" t="inlineStr">
        <is>
          <t>Web/API — AI-анализ</t>
        </is>
      </c>
      <c r="C11" s="2" t="inlineStr">
        <is>
          <t>Транскрипция / Анализ / Подтверждение</t>
        </is>
      </c>
      <c r="D11" s="2" t="inlineStr">
        <is>
          <t>Исчерпание лимита Gemini не останавливает весь продукт
Риск R-12: отказ по биллингу ломает AI, но не должен ломать вход, очередь, ручное подтверждение и другие компании. Неудачные звонки не копятся для массового автозапуска.</t>
        </is>
      </c>
      <c r="E11" s="2" t="inlineStr">
        <is>
          <t>На staging безопасно подставлен тестовый отказ Gemini, эквивалентный исчерпанному лимиту. Есть отвеченный звонок с записью.</t>
        </is>
      </c>
      <c r="F11" s="2" t="inlineStr">
        <is>
          <t>1. Дождись автоматической попытки анализа и открой страницу звонка.
2. Проверь сообщение и отсутствие транскрипта.
3. Открой «Обзвон», список «Звонки» и кабинет другого тестового РОП.
4. Верни Gemini в рабочее состояние и подожди 2 минуты без ручных действий.
5. Нажми «Повторить анализ» только для тестового звонка.</t>
        </is>
      </c>
      <c r="G11" s="2" t="inlineStr">
        <is>
          <t>AI-звонок показывает ошибку, но остальные функции доступны. После восстановления старый звонок сам не создаёт массовых повторов; ручной повтор успешно его обрабатывает.</t>
        </is>
      </c>
      <c r="H11" s="20" t="inlineStr">
        <is>
          <t>Critical</t>
        </is>
      </c>
      <c r="I11" s="3" t="inlineStr">
        <is>
          <t>Not Run</t>
        </is>
      </c>
      <c r="J11" s="2" t="inlineStr">
        <is>
          <t>web|api|negative</t>
        </is>
      </c>
    </row>
    <row r="12" ht="83.19999999999999" customHeight="1">
      <c r="A12" s="3" t="inlineStr">
        <is>
          <t>TC-152</t>
        </is>
      </c>
      <c r="B12" s="2" t="inlineStr">
        <is>
          <t>Web/API — AI-анализ</t>
        </is>
      </c>
      <c r="C12" s="2" t="inlineStr">
        <is>
          <t>Транскрипция / Анализ / Подтверждение</t>
        </is>
      </c>
      <c r="D12" s="2" t="inlineStr">
        <is>
          <t>Узбекская речь остаётся на узбекском
Gemini не должен переводить разговор на русский или английский. Проверяем качество на заранее подготовленной «золотой» записи с известным текстом.</t>
        </is>
      </c>
      <c r="E12" s="2" t="inlineStr">
        <is>
          <t>Есть качественная запись узбекского разговора и проверенный человеком эталон текста. В записи названы имя, филиал и дата.</t>
        </is>
      </c>
      <c r="F12" s="2" t="inlineStr">
        <is>
          <t>1. Запусти анализ записи.
2. Открой «Транскрипт звонка».
3. Сравни текст и «Краткое резюме» с эталоном.
4. Проверь имена, числа, филиал и дату.</t>
        </is>
      </c>
      <c r="G12" s="2" t="inlineStr">
        <is>
          <t>Транскрипт и резюме написаны на узбекском, смысл и ключевые факты совпадают с записью. Английские фразы не придуманы.</t>
        </is>
      </c>
      <c r="H12" s="21" t="inlineStr">
        <is>
          <t>High</t>
        </is>
      </c>
      <c r="I12" s="3" t="inlineStr">
        <is>
          <t>Not Run</t>
        </is>
      </c>
      <c r="J12" s="2" t="inlineStr">
        <is>
          <t>web|positive</t>
        </is>
      </c>
    </row>
    <row r="13" ht="70" customHeight="1">
      <c r="A13" s="3" t="inlineStr">
        <is>
          <t>TC-153</t>
        </is>
      </c>
      <c r="B13" s="2" t="inlineStr">
        <is>
          <t>Web/API — AI-анализ</t>
        </is>
      </c>
      <c r="C13" s="2" t="inlineStr">
        <is>
          <t>Транскрипция / Анализ / Подтверждение</t>
        </is>
      </c>
      <c r="D13" s="2" t="inlineStr">
        <is>
          <t>Русская речь остаётся на русском
Отдельно проверяем русскую запись: язык, имена, числа и договорённости должны сохраниться без перевода.</t>
        </is>
      </c>
      <c r="E13" s="2" t="inlineStr">
        <is>
          <t>Есть качественная русская «золотая» запись и проверенный эталон.</t>
        </is>
      </c>
      <c r="F13" s="2" t="inlineStr">
        <is>
          <t>1. Запусти анализ русской записи.
2. Открой транскрипт и краткое резюме.
3. Сравни их с эталоном по именам, числам, месту и договорённости.</t>
        </is>
      </c>
      <c r="G13" s="2" t="inlineStr">
        <is>
          <t>Текст и резюме на русском. Ключевые факты верны, узбекский или английский перевод вместо оригинала не появился.</t>
        </is>
      </c>
      <c r="H13" s="21" t="inlineStr">
        <is>
          <t>High</t>
        </is>
      </c>
      <c r="I13" s="3" t="inlineStr">
        <is>
          <t>Not Run</t>
        </is>
      </c>
      <c r="J13" s="2" t="inlineStr">
        <is>
          <t>web|positive</t>
        </is>
      </c>
    </row>
    <row r="14" ht="109.6" customHeight="1">
      <c r="A14" s="3" t="inlineStr">
        <is>
          <t>TC-154</t>
        </is>
      </c>
      <c r="B14" s="2" t="inlineStr">
        <is>
          <t>Web/API — AI-анализ</t>
        </is>
      </c>
      <c r="C14" s="2" t="inlineStr">
        <is>
          <t>Транскрипция / Анализ / Подтверждение</t>
        </is>
      </c>
      <c r="D14" s="2" t="inlineStr">
        <is>
          <t>Смешанная речь и собеседники разделены правильно
В реальных звонках русский и узбекский смешиваются. Реплики клиента и оператора должны быть подписаны и идти в правильном порядке.</t>
        </is>
      </c>
      <c r="E14" s="2" t="inlineStr">
        <is>
          <t>Есть запись, где оператор и клиент несколько раз переключаются между русским и узбекским. Известно имя оператора.</t>
        </is>
      </c>
      <c r="F14" s="2" t="inlineStr">
        <is>
          <t>1. Проанализируй запись и открой «Транскрипт звонка».
2. В блоке «Разговор» последовательно прочитай все реплики.
3. Проверь подписи «Оператор» и «Клиент» и имя оператора.
4. Нажми несколько реплик и сравни начало воспроизведения с соответствующим местом записи.</t>
        </is>
      </c>
      <c r="G14" s="2" t="inlineStr">
        <is>
          <t>Языки сохранены так, как звучали. Реплики не переставлены, говорящие не перепутаны, переход по реплике включает правильный фрагмент аудио.</t>
        </is>
      </c>
      <c r="H14" s="21" t="inlineStr">
        <is>
          <t>High</t>
        </is>
      </c>
      <c r="I14" s="3" t="inlineStr">
        <is>
          <t>Not Run</t>
        </is>
      </c>
      <c r="J14" s="2" t="inlineStr">
        <is>
          <t>web|boundary</t>
        </is>
      </c>
    </row>
    <row r="15" ht="96.39999999999999" customHeight="1">
      <c r="A15" s="3" t="inlineStr">
        <is>
          <t>TC-155</t>
        </is>
      </c>
      <c r="B15" s="2" t="inlineStr">
        <is>
          <t>Web/API — AI-анализ</t>
        </is>
      </c>
      <c r="C15" s="2" t="inlineStr">
        <is>
          <t>Транскрипция / Анализ / Подтверждение</t>
        </is>
      </c>
      <c r="D15" s="2" t="inlineStr">
        <is>
          <t>AI не придумывает факты из технических данных звонка
Имя оператора, номера и направление передаются Gemini только как служебный контекст. Они не должны появляться в тексте как будто были произнесены.</t>
        </is>
      </c>
      <c r="E15" s="2" t="inlineStr">
        <is>
          <t>Есть запись, где собеседники не называют имя оператора и номера телефонов. Эти данные известны системе из метаданных.</t>
        </is>
      </c>
      <c r="F15" s="2" t="inlineStr">
        <is>
          <t>1. Запусти анализ и открой транскрипт.
2. Прочитай транскрипт и резюме полностью.
3. Поищи имя оператора и номера caller/callee.
4. Прослушай запись и убедись, что найденные фразы действительно звучали.</t>
        </is>
      </c>
      <c r="G15" s="2" t="inlineStr">
        <is>
          <t>Непроизнесённые имя и номера не вставлены в транскрипт или резюме. AI не выдумывает приветствие, потребность, дату или исход разговора.</t>
        </is>
      </c>
      <c r="H15" s="20" t="inlineStr">
        <is>
          <t>Critical</t>
        </is>
      </c>
      <c r="I15" s="3" t="inlineStr">
        <is>
          <t>Not Run</t>
        </is>
      </c>
      <c r="J15" s="2" t="inlineStr">
        <is>
          <t>web|negative</t>
        </is>
      </c>
    </row>
    <row r="16" ht="83.19999999999999" customHeight="1">
      <c r="A16" s="3" t="inlineStr">
        <is>
          <t>TC-156</t>
        </is>
      </c>
      <c r="B16" s="2" t="inlineStr">
        <is>
          <t>Web/API — AI-анализ</t>
        </is>
      </c>
      <c r="C16" s="2" t="inlineStr">
        <is>
          <t>Транскрипция / Анализ / Подтверждение</t>
        </is>
      </c>
      <c r="D16" s="2" t="inlineStr">
        <is>
          <t>Описание компании помогает распознавать названия
Текст «О компании (для ИИ)» передаётся в анализ как словарь контекста. Проверяем сложные названия филиалов и услуг.</t>
        </is>
      </c>
      <c r="E16" s="2" t="inlineStr">
        <is>
          <t>В «Критериях» сохранено описание с редкими тестовыми названиями филиала и курса. Есть запись, где клиент произносит именно эти названия.</t>
        </is>
      </c>
      <c r="F16" s="2" t="inlineStr">
        <is>
          <t>1. Открой «Критерии» и проверь сохранённый текст «О компании (для ИИ)».
2. Проанализируй подготовленный звонок.
3. Сравни написание названий в транскрипте, резюме и форме с описанием.</t>
        </is>
      </c>
      <c r="G16" s="2" t="inlineStr">
        <is>
          <t>Редкие названия записаны так же, как в описании компании, если именно они произнесены. AI не добавляет остальные названия из описания без причины.</t>
        </is>
      </c>
      <c r="H16" s="22" t="inlineStr">
        <is>
          <t>Medium</t>
        </is>
      </c>
      <c r="I16" s="3" t="inlineStr">
        <is>
          <t>Not Run</t>
        </is>
      </c>
      <c r="J16" s="2" t="inlineStr">
        <is>
          <t>web|positive</t>
        </is>
      </c>
    </row>
    <row r="17" ht="96.39999999999999" customHeight="1">
      <c r="A17" s="3" t="inlineStr">
        <is>
          <t>TC-157</t>
        </is>
      </c>
      <c r="B17" s="2" t="inlineStr">
        <is>
          <t>Web/API — AI-анализ</t>
        </is>
      </c>
      <c r="C17" s="2" t="inlineStr">
        <is>
          <t>Транскрипция / Анализ / Подтверждение</t>
        </is>
      </c>
      <c r="D17" s="2" t="inlineStr">
        <is>
          <t>Телефон, оператор и время звонка заполняются из метаданных
Поля с ясными названиями могут быть заполнены без распознавания речи: система уже знает телефон клиента, оператора и время события.</t>
        </is>
      </c>
      <c r="E17" s="2" t="inlineStr">
        <is>
          <t>В форме есть поля с подсказками «phone/telefon», «operator» и точным смыслом «call vaqti». Известны реальные значения тестового звонка.</t>
        </is>
      </c>
      <c r="F17" s="2" t="inlineStr">
        <is>
          <t>1. Проанализируй тестовый звонок.
2. Открой блок «Форма, заполненная ИИ».
3. Сверь телефон с номером клиента, оператора — с выполнившим звонок сотрудником.
4. Сверь время звонка с событием по часовому поясу Ташкента.</t>
        </is>
      </c>
      <c r="G17" s="2" t="inlineStr">
        <is>
          <t>Все три значения заполнены из правильного звонка. Телефон не заменён внутренним номером, имя не взято у другого оператора, время не сдвинуто часовым поясом.</t>
        </is>
      </c>
      <c r="H17" s="21" t="inlineStr">
        <is>
          <t>High</t>
        </is>
      </c>
      <c r="I17" s="3" t="inlineStr">
        <is>
          <t>Not Run</t>
        </is>
      </c>
      <c r="J17" s="2" t="inlineStr">
        <is>
          <t>web|positive</t>
        </is>
      </c>
    </row>
    <row r="18" ht="96.39999999999999" customHeight="1">
      <c r="A18" s="3" t="inlineStr">
        <is>
          <t>TC-158</t>
        </is>
      </c>
      <c r="B18" s="2" t="inlineStr">
        <is>
          <t>Web/API — AI-анализ</t>
        </is>
      </c>
      <c r="C18" s="2" t="inlineStr">
        <is>
          <t>Транскрипция / Анализ / Подтверждение</t>
        </is>
      </c>
      <c r="D18" s="2" t="inlineStr">
        <is>
          <t>Время звонка не попадает в чужое поле времени
Проверяем исправление слишком широкого сопоставления. Поля встречи, оплаты и свободного времени не должны автоматически получать время самого звонка.</t>
        </is>
      </c>
      <c r="E18" s="2" t="inlineStr">
        <is>
          <t>В форме одновременно есть `call vaqti`, `uchrashuv vaqti`, `to'lov qilish vaqti` и `mijoz bo'sh vaqti`. В разговоре эти дополнительные времена не назывались.</t>
        </is>
      </c>
      <c r="F18" s="2" t="inlineStr">
        <is>
          <t>1. Проанализируй тестовый звонок.
2. Открой заполненную форму.
3. Сравни четыре поля времени.</t>
        </is>
      </c>
      <c r="G18" s="2" t="inlineStr">
        <is>
          <t>Время события автоматически стоит только в `call vaqti`. Остальные три поля остаются пустыми, потому что клиент их не называл.</t>
        </is>
      </c>
      <c r="H18" s="20" t="inlineStr">
        <is>
          <t>Critical</t>
        </is>
      </c>
      <c r="I18" s="3" t="inlineStr">
        <is>
          <t>Not Run</t>
        </is>
      </c>
      <c r="J18" s="2" t="inlineStr">
        <is>
          <t>web|negative</t>
        </is>
      </c>
    </row>
    <row r="19" ht="96.39999999999999" customHeight="1">
      <c r="A19" s="3" t="inlineStr">
        <is>
          <t>TC-159</t>
        </is>
      </c>
      <c r="B19" s="2" t="inlineStr">
        <is>
          <t>Web/API — AI-анализ</t>
        </is>
      </c>
      <c r="C19" s="2" t="inlineStr">
        <is>
          <t>Транскрипция / Анализ / Подтверждение</t>
        </is>
      </c>
      <c r="D19" s="2" t="inlineStr">
        <is>
          <t>AI заполняет все подтверждённые разговором поля
Проверяем, что анализ читает весь разговор и кратко переносит факты в подходящие поля, не ограничиваясь одним-двумя значениями.</t>
        </is>
      </c>
      <c r="E19" s="2" t="inlineStr">
        <is>
          <t>Форма содержит имя, цель, филиал, удобное время и комментарий. В «золотой» записи клиент ясно сообщает все пять значений.</t>
        </is>
      </c>
      <c r="F19" s="2" t="inlineStr">
        <is>
          <t>1. Проанализируй запись.
2. Открой «Форму, заполненную ИИ».
3. Сверь каждое из пяти полей с разговором.
4. Проверь, что длинный ответ клиента кратко и без потери смысла перенесён в комментарий.</t>
        </is>
      </c>
      <c r="G19" s="2" t="inlineStr">
        <is>
          <t>Заполнены все пять подтверждённых полей. Значения относятся к своим полям, не содержат выдуманных фактов и не взяты из другого звонка.</t>
        </is>
      </c>
      <c r="H19" s="20" t="inlineStr">
        <is>
          <t>Critical</t>
        </is>
      </c>
      <c r="I19" s="3" t="inlineStr">
        <is>
          <t>Not Run</t>
        </is>
      </c>
      <c r="J19" s="2" t="inlineStr">
        <is>
          <t>web|positive</t>
        </is>
      </c>
    </row>
    <row r="20" ht="96.39999999999999" customHeight="1">
      <c r="A20" s="3" t="inlineStr">
        <is>
          <t>TC-160</t>
        </is>
      </c>
      <c r="B20" s="2" t="inlineStr">
        <is>
          <t>Web/API — AI-анализ</t>
        </is>
      </c>
      <c r="C20" s="2" t="inlineStr">
        <is>
          <t>Транскрипция / Анализ / Подтверждение</t>
        </is>
      </c>
      <c r="D20" s="2" t="inlineStr">
        <is>
          <t>Поле-список принимает только вариант из AmoCRM
Для списка филиалов или услуг AI обязан вернуть точный существующий вариант. Придуманный или устаревший вариант нельзя отправлять в AmoCRM.</t>
        </is>
      </c>
      <c r="E20" s="2" t="inlineStr">
        <is>
          <t>Поле-список имеет варианты «Bodomzor» и «Mirzo Ulug'bek». Подготовлены две записи: в первой клиент называет Bodomzor, во второй — отсутствующий филиал.</t>
        </is>
      </c>
      <c r="F20" s="2" t="inlineStr">
        <is>
          <t>1. Проанализируй первую запись и проверь значение списка.
2. Проанализируй вторую запись и проверь то же поле.
3. Раскрой список на экране подтверждения и сравни доступные варианты.</t>
        </is>
      </c>
      <c r="G20" s="2" t="inlineStr">
        <is>
          <t>Для первой записи выбран точный вариант «Bodomzor». Для второй поле пустое; AI не создаёт новый вариант и не подменяет его случайным существующим.</t>
        </is>
      </c>
      <c r="H20" s="20" t="inlineStr">
        <is>
          <t>Critical</t>
        </is>
      </c>
      <c r="I20" s="3" t="inlineStr">
        <is>
          <t>Not Run</t>
        </is>
      </c>
      <c r="J20" s="2" t="inlineStr">
        <is>
          <t>web|negative</t>
        </is>
      </c>
    </row>
    <row r="21" ht="96.39999999999999" customHeight="1">
      <c r="A21" s="3" t="inlineStr">
        <is>
          <t>TC-161</t>
        </is>
      </c>
      <c r="B21" s="2" t="inlineStr">
        <is>
          <t>Web/API — AI-анализ</t>
        </is>
      </c>
      <c r="C21" s="2" t="inlineStr">
        <is>
          <t>Транскрипция / Анализ / Подтверждение</t>
        </is>
      </c>
      <c r="D21" s="2" t="inlineStr">
        <is>
          <t>Отсутствующее обязательное значение отмечает форму неполной
Если клиент не сообщил обязательный факт, AI должен оставить поле пустым и явно сообщить оператору, что его нужно заполнить.</t>
        </is>
      </c>
      <c r="E21" s="2" t="inlineStr">
        <is>
          <t>Одно поле формы помечено «Обязательно». В тестовой записи нет ответа на него.</t>
        </is>
      </c>
      <c r="F21" s="2" t="inlineStr">
        <is>
          <t>1. Проанализируй запись.
2. Открой заполненную форму на странице транскрипта и экран подтверждения звонка.
3. Найди обязательное поле.
4. Проверь, не появилось ли выдуманное значение.</t>
        </is>
      </c>
      <c r="G21" s="2" t="inlineStr">
        <is>
          <t>Поле пустое и входит в список незаполненных обязательных полей. На подтверждении видна подсказка «Обязательное поле не заполнено»; выдуманного ответа нет.</t>
        </is>
      </c>
      <c r="H21" s="21" t="inlineStr">
        <is>
          <t>High</t>
        </is>
      </c>
      <c r="I21" s="3" t="inlineStr">
        <is>
          <t>Not Run</t>
        </is>
      </c>
      <c r="J21" s="2" t="inlineStr">
        <is>
          <t>web|negative</t>
        </is>
      </c>
    </row>
    <row r="22" ht="96.39999999999999" customHeight="1">
      <c r="A22" s="3" t="inlineStr">
        <is>
          <t>TC-162</t>
        </is>
      </c>
      <c r="B22" s="2" t="inlineStr">
        <is>
          <t>Web/API — AI-анализ</t>
        </is>
      </c>
      <c r="C22" s="2" t="inlineStr">
        <is>
          <t>Транскрипция / Анализ / Подтверждение</t>
        </is>
      </c>
      <c r="D22" s="2" t="inlineStr">
        <is>
          <t>Статус выбирается по фактическому исходу разговора
Проверяем три главных исхода: встреча, согласованный перезвон и незавершённый разговор. AI должен учитывать подсказки статусов текущей воронки.</t>
        </is>
      </c>
      <c r="E22" s="2" t="inlineStr">
        <is>
          <t>В воронке есть статусы встречи, `Keyingi qo'ng'iroq` и `Chala gaplashdi` с понятными подсказками. Подготовлены три отдельные «золотые» записи этих исходов.</t>
        </is>
      </c>
      <c r="F22" s="2" t="inlineStr">
        <is>
          <t>1. Поочерёдно проанализируй три записи.
2. Для каждой открой рекомендацию статуса.
3. Сверь рекомендацию с тем, что реально произошло в разговоре.
4. Убедись, что статус существует именно в воронке соответствующего лида.</t>
        </is>
      </c>
      <c r="G22" s="2" t="inlineStr">
        <is>
          <t>Встреча получает статус встречи, конкретный перезвон — `Keyingi qo'ng'iroq`, частично собранные данные — `Chala gaplashdi`. Статус не взят из чужой воронки.</t>
        </is>
      </c>
      <c r="H22" s="20" t="inlineStr">
        <is>
          <t>Critical</t>
        </is>
      </c>
      <c r="I22" s="3" t="inlineStr">
        <is>
          <t>Not Run</t>
        </is>
      </c>
      <c r="J22" s="2" t="inlineStr">
        <is>
          <t>web|positive</t>
        </is>
      </c>
    </row>
    <row r="23" ht="96.39999999999999" customHeight="1">
      <c r="A23" s="3" t="inlineStr">
        <is>
          <t>TC-163</t>
        </is>
      </c>
      <c r="B23" s="2" t="inlineStr">
        <is>
          <t>Web/API — AI-анализ</t>
        </is>
      </c>
      <c r="C23" s="2" t="inlineStr">
        <is>
          <t>Транскрипция / Анализ / Подтверждение</t>
        </is>
      </c>
      <c r="D23" s="2" t="inlineStr">
        <is>
          <t>Продуктивный разговор не получает системный плохой статус
Если клиент ответил и договорился о следующем шаге, AI не имеет права рекомендовать `Ko'tarmadi`, `Yangi` или `Sifatsiz`.</t>
        </is>
      </c>
      <c r="E23" s="2" t="inlineStr">
        <is>
          <t>Есть запись живого разговора, где клиент явно согласился на встречу. В каталоге РОП присутствуют статусы с названиями `Ko'tarmadi`, `Yangi` и `Sifatsiz`.</t>
        </is>
      </c>
      <c r="F23" s="2" t="inlineStr">
        <is>
          <t>1. Проанализируй запись.
2. Открой рекомендацию на экране итога.
3. Проверь выбранный статус и доступные варианты списка.</t>
        </is>
      </c>
      <c r="G23" s="2" t="inlineStr">
        <is>
          <t>Рекомендован статус встречи. `Ko'tarmadi`, `Yangi` и `Sifatsiz` не выбраны и не предлагаются оператору как итог продуктивного звонка.</t>
        </is>
      </c>
      <c r="H23" s="20" t="inlineStr">
        <is>
          <t>Critical</t>
        </is>
      </c>
      <c r="I23" s="3" t="inlineStr">
        <is>
          <t>Not Run</t>
        </is>
      </c>
      <c r="J23" s="2" t="inlineStr">
        <is>
          <t>web|negative</t>
        </is>
      </c>
    </row>
    <row r="24" ht="96.39999999999999" customHeight="1">
      <c r="A24" s="3" t="inlineStr">
        <is>
          <t>TC-164</t>
        </is>
      </c>
      <c r="B24" s="2" t="inlineStr">
        <is>
          <t>Web/API — AI-анализ</t>
        </is>
      </c>
      <c r="C24" s="2" t="inlineStr">
        <is>
          <t>Транскрипция / Анализ / Подтверждение</t>
        </is>
      </c>
      <c r="D24" s="2" t="inlineStr">
        <is>
          <t>Относительные даты считаются от даты звонка в Ташкенте
Риск R-4: слова «сегодня», «завтра» и день недели должны превратиться в конкретную дату относительно самого звонка, а не текущего времени сервера.</t>
        </is>
      </c>
      <c r="E24" s="2" t="inlineStr">
        <is>
          <t>Есть три записи с известной датой события по Asia/Tashkent: клиент говорит «сегодня», «завтра в 15:30» и «в понедельник». Форма содержит поле даты/времени.</t>
        </is>
      </c>
      <c r="F24" s="2" t="inlineStr">
        <is>
          <t>1. Проанализируй каждую запись.
2. Запиши полученную дату и время.
3. Самостоятельно посчитай ожидаемые даты от даты звонка по календарю Ташкента.
4. Для «понедельника» проверь именно следующий понедельник.</t>
        </is>
      </c>
      <c r="G24" s="2" t="inlineStr">
        <is>
          <t>«Сегодня» равно дате звонка, «завтра» — следующему календарному дню в 15:30, «понедельник» — следующему понедельнику. Формат пригоден для календарного поля.</t>
        </is>
      </c>
      <c r="H24" s="20" t="inlineStr">
        <is>
          <t>Critical</t>
        </is>
      </c>
      <c r="I24" s="3" t="inlineStr">
        <is>
          <t>Not Run</t>
        </is>
      </c>
      <c r="J24" s="2" t="inlineStr">
        <is>
          <t>web|boundary</t>
        </is>
      </c>
    </row>
    <row r="25" ht="109.6" customHeight="1">
      <c r="A25" s="3" t="inlineStr">
        <is>
          <t>TC-165</t>
        </is>
      </c>
      <c r="B25" s="2" t="inlineStr">
        <is>
          <t>Web/API — AI-анализ</t>
        </is>
      </c>
      <c r="C25" s="2" t="inlineStr">
        <is>
          <t>Транскрипция / Анализ / Подтверждение</t>
        </is>
      </c>
      <c r="D25" s="2" t="inlineStr">
        <is>
          <t>Ключ Gemini не появляется в адресах и журналах
Проверка закрытого риска R-11. Секрет передаётся только в заголовке запроса и не должен попасть в URL, текст сетевой ошибки или журнал контейнера.</t>
        </is>
      </c>
      <c r="E25" s="2" t="inlineStr">
        <is>
          <t>Есть доступ только для чтения к журналу staging и известна безопасная контрольная часть текущего тестового ключа из .env. Сам ключ в кейс не копируется.</t>
        </is>
      </c>
      <c r="F25" s="2" t="inlineStr">
        <is>
          <t>1. Запусти успешный анализ одного тестового звонка.
2. Безопасно вызови сетевую ошибку Gemini на staging и повтори анализ другого звонка.
3. В журнале выполни поиск по контрольной части ключа.
4. Проверь адреса запросов `generateContent` в журнале и сетевой диагностике.</t>
        </is>
      </c>
      <c r="G25" s="2" t="inlineStr">
        <is>
          <t>Поиск не находит ключ или его часть. В URL нет параметра `?key=`; секрет используется только в заголовке `x-goog-api-key`, который не печатается.</t>
        </is>
      </c>
      <c r="H25" s="20" t="inlineStr">
        <is>
          <t>Critical</t>
        </is>
      </c>
      <c r="I25" s="3" t="inlineStr">
        <is>
          <t>Not Run</t>
        </is>
      </c>
      <c r="J25" s="2" t="inlineStr">
        <is>
          <t>api|negative</t>
        </is>
      </c>
    </row>
  </sheetData>
  <autoFilter ref="A1:J25"/>
  <conditionalFormatting sqref="I2:I5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5" showDropDown="0" showInputMessage="0" showErrorMessage="0" allowBlank="1" errorTitle="Недопустимое значение" error="Выбери значение из списка: Critical, High, Medium, Low" type="list">
      <formula1>"Critical,High,Medium,Low"</formula1>
    </dataValidation>
    <dataValidation sqref="I2:I5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TC-166</t>
        </is>
      </c>
      <c r="B2" s="2" t="inlineStr">
        <is>
          <t>Web/API — Интеграция AmoCRM</t>
        </is>
      </c>
      <c r="C2" s="2" t="inlineStr">
        <is>
          <t>AmoCRM / Воронки / Поля</t>
        </is>
      </c>
      <c r="D2" s="2" t="inlineStr">
        <is>
          <t>Супер-админ подключает тестовый аккаунт AmoCRM к РОП
Проверяем создание интеграции и немедленную загрузку воронок. Все реквизиты берутся только из .env и никогда не копируются в Excel.</t>
        </is>
      </c>
      <c r="E2" s="2" t="inlineStr">
        <is>
          <t>Есть отдельный тестовый РОП без подключения AmoCRM и тестовый аккаунт AmoCRM. Domain, Client ID, Client secret, Redirect URI, Access token и Lead source лежат в .env.</t>
        </is>
      </c>
      <c r="F2" s="2" t="inlineStr">
        <is>
          <t>1. Войди под супер-админом и открой список «РОПы».
2. В строке тестового РОП нажми «Подключить» в колонке AmoCRM.
3. Заполни поля Domain, Client ID, Client secret, Redirect URI, Access token и Lead source данными из .env.
4. Оставь переключатель «Активен» включённым и нажми «Подключить».
5. Войди под этим РОП и открой «Правила».</t>
        </is>
      </c>
      <c r="G2" s="2" t="inlineStr">
        <is>
          <t>Показано «AmoCRM подключён». В таблице РОП виден домен, а в «Правилах» загружается список воронок тестового аккаунта без повторного ввода токенов.</t>
        </is>
      </c>
      <c r="H2" s="20" t="inlineStr">
        <is>
          <t>Critical</t>
        </is>
      </c>
      <c r="I2" s="3" t="inlineStr">
        <is>
          <t>Not Run</t>
        </is>
      </c>
      <c r="J2" s="2" t="inlineStr">
        <is>
          <t>web|positive</t>
        </is>
      </c>
    </row>
    <row r="3" ht="83.19999999999999" customHeight="1">
      <c r="A3" s="3" t="inlineStr">
        <is>
          <t>TC-167</t>
        </is>
      </c>
      <c r="B3" s="2" t="inlineStr">
        <is>
          <t>Web/API — Интеграция AmoCRM</t>
        </is>
      </c>
      <c r="C3" s="2" t="inlineStr">
        <is>
          <t>AmoCRM / Воронки / Поля</t>
        </is>
      </c>
      <c r="D3" s="2" t="inlineStr">
        <is>
          <t>Пустые обязательные поля подключения не отправляются
Форма должна подсказать, какие реквизиты отсутствуют, и не создавать неполную конфигурацию.</t>
        </is>
      </c>
      <c r="E3" s="2" t="inlineStr">
        <is>
          <t>Есть тестовый РОП без подключения AmoCRM. Открыто окно «Подключение AmoCRM».</t>
        </is>
      </c>
      <c r="F3" s="2" t="inlineStr">
        <is>
          <t>1. Оставь все поля пустыми.
2. Попытайся нажать «Подключить».
3. Поочерёдно заполняй все поля, кроме одного обязательного, и снова проверяй кнопку.</t>
        </is>
      </c>
      <c r="G3" s="2" t="inlineStr">
        <is>
          <t>У пустых полей показаны подсказки «… обязателен», кнопка недоступна или форма не отправляется. В колонке AmoCRM по-прежнему «Не подключено».</t>
        </is>
      </c>
      <c r="H3" s="21" t="inlineStr">
        <is>
          <t>High</t>
        </is>
      </c>
      <c r="I3" s="3" t="inlineStr">
        <is>
          <t>Not Run</t>
        </is>
      </c>
      <c r="J3" s="2" t="inlineStr">
        <is>
          <t>web|negative</t>
        </is>
      </c>
    </row>
    <row r="4" ht="96.39999999999999" customHeight="1">
      <c r="A4" s="3" t="inlineStr">
        <is>
          <t>TC-168</t>
        </is>
      </c>
      <c r="B4" s="2" t="inlineStr">
        <is>
          <t>Web/API — Интеграция AmoCRM</t>
        </is>
      </c>
      <c r="C4" s="2" t="inlineStr">
        <is>
          <t>AmoCRM / Воронки / Поля</t>
        </is>
      </c>
      <c r="D4" s="2" t="inlineStr">
        <is>
          <t>Неверный домен или токен не создаёт рабочее подключение
Система не должна сообщать об успехе, если AmoCRM отклонила реквизиты.</t>
        </is>
      </c>
      <c r="E4" s="2" t="inlineStr">
        <is>
          <t>Есть тестовый РОП без конфигурации. Подготовлены заведомо неверные Domain и Access token.</t>
        </is>
      </c>
      <c r="F4" s="2" t="inlineStr">
        <is>
          <t>1. Открой окно подключения AmoCRM.
2. Сначала введи неверный домен, остальные обязательные поля заполни тестовыми данными.
3. Нажми «Подключить» и запиши ошибку.
4. Повтори с правильным доменом, но неверным Access token.
5. Открой «Правила» под РОП.</t>
        </is>
      </c>
      <c r="G4" s="2" t="inlineStr">
        <is>
          <t>В обоих случаях показана «Ошибка при подключении AmoCRM», воронки не загружаются. Интерфейс не показывает ложное «Подключено».</t>
        </is>
      </c>
      <c r="H4" s="20" t="inlineStr">
        <is>
          <t>Critical</t>
        </is>
      </c>
      <c r="I4" s="3" t="inlineStr">
        <is>
          <t>Not Run</t>
        </is>
      </c>
      <c r="J4" s="2" t="inlineStr">
        <is>
          <t>web|negative</t>
        </is>
      </c>
    </row>
    <row r="5" ht="96.39999999999999" customHeight="1">
      <c r="A5" s="3" t="inlineStr">
        <is>
          <t>TC-169</t>
        </is>
      </c>
      <c r="B5" s="2" t="inlineStr">
        <is>
          <t>Web/API — Интеграция AmoCRM</t>
        </is>
      </c>
      <c r="C5" s="2" t="inlineStr">
        <is>
          <t>AmoCRM / Воронки / Поля</t>
        </is>
      </c>
      <c r="D5" s="2" t="inlineStr">
        <is>
          <t>Повторное подключение не создаёт две конфигурации
Для одного РОП должна существовать одна конфигурация AmoCRM. После подключения интерфейс показывает её сведения, а не новую пустую форму.</t>
        </is>
      </c>
      <c r="E5" s="2" t="inlineStr">
        <is>
          <t>У тестового РОП уже есть рабочее подключение AmoCRM.</t>
        </is>
      </c>
      <c r="F5" s="2" t="inlineStr">
        <is>
          <t>1. Под супер-админом снова нажми подключение AmoCRM у этого РОП.
2. Проверь содержимое окна.
3. Попробуй открыть это окно повторно после обновления страницы.
4. Через тестовый API запроси список конфигураций данного РОП.</t>
        </is>
      </c>
      <c r="G5" s="2" t="inlineStr">
        <is>
          <t>Показано «AmoCRM уже подключён» и сведения одной конфигурации. Второй формы создания нет, API возвращает ровно одну конфигурацию РОП.</t>
        </is>
      </c>
      <c r="H5" s="21" t="inlineStr">
        <is>
          <t>High</t>
        </is>
      </c>
      <c r="I5" s="3" t="inlineStr">
        <is>
          <t>Not Run</t>
        </is>
      </c>
      <c r="J5" s="2" t="inlineStr">
        <is>
          <t>web|api|negative</t>
        </is>
      </c>
    </row>
    <row r="6" ht="122.8" customHeight="1">
      <c r="A6" s="3" t="inlineStr">
        <is>
          <t>TC-170</t>
        </is>
      </c>
      <c r="B6" s="2" t="inlineStr">
        <is>
          <t>Web/API — Интеграция AmoCRM</t>
        </is>
      </c>
      <c r="C6" s="2" t="inlineStr">
        <is>
          <t>/v1/amocrm/configs/{CONFIG_ID}</t>
        </is>
      </c>
      <c r="D6" s="2" t="inlineStr">
        <is>
          <t>Обновление несекретного поля не стирает токены
Сервер специально не возвращает секреты. При изменении домена или активности пустые секретные поля не должны затереть сохранённые Client secret и Access token.</t>
        </is>
      </c>
      <c r="E6" s="2" t="inlineStr">
        <is>
          <t>Есть рабочая конфигурация и токен супер-админа из тестового входа. Известны {STAGE_API_URL} и ID конфигурации; секреты остаются только в .env.</t>
        </is>
      </c>
      <c r="F6" s="2" t="inlineStr">
        <is>
          <t>1. В Postman создай PATCH-запрос на {STAGE_API_URL}/v1/amocrm/configs/{CONFIG_ID}.
2. Добавь заголовок Authorization: Bearer {ТОКЕН_СУПЕР_АДМИНА}.
3. В Body → raw → JSON укажи только `{"is_active": false}` и отправь запрос.
4. Повтори запрос с `{"is_active": true}`.
5. Под РОП открой «Правила» и проверь загрузку воронок.</t>
        </is>
      </c>
      <c r="G6" s="2" t="inlineStr">
        <is>
          <t>Оба обновления успешны. После повторного включения прежний токен продолжает работать, воронки загружаются; секреты не возвращаются в ответе API.</t>
        </is>
      </c>
      <c r="H6" s="20" t="inlineStr">
        <is>
          <t>Critical</t>
        </is>
      </c>
      <c r="I6" s="3" t="inlineStr">
        <is>
          <t>Not Run</t>
        </is>
      </c>
      <c r="J6" s="2" t="inlineStr">
        <is>
          <t>web|api|negative</t>
        </is>
      </c>
    </row>
    <row r="7" ht="136" customHeight="1">
      <c r="A7" s="3" t="inlineStr">
        <is>
          <t>TC-171</t>
        </is>
      </c>
      <c r="B7" s="2" t="inlineStr">
        <is>
          <t>Web/API — Интеграция AmoCRM</t>
        </is>
      </c>
      <c r="C7" s="2" t="inlineStr">
        <is>
          <t>AmoCRM / Воронки / Поля</t>
        </is>
      </c>
      <c r="D7" s="2" t="inlineStr">
        <is>
          <t>Удаление тестовой конфигурации останавливает интеграцию
Проверяем управляемое отключение: удаляется только связь тестового РОП, данные в самой AmoCRM и подключения других РОП не затрагиваются.</t>
        </is>
      </c>
      <c r="E7" s="2" t="inlineStr">
        <is>
          <t>Создан отдельный тестовый РОП, его подключение можно удалить и затем восстановить. Записано число лидов в тестовой AmoCRM.</t>
        </is>
      </c>
      <c r="F7" s="2" t="inlineStr">
        <is>
          <t>1. Под супер-админом открой подключение AmoCRM тестового РОП.
2. Нажми «Удалить» и дождись сообщения «Конфигурация AmoCRM удалена».
3. Под РОП открой «Правила» и «Обзвон» его оператора.
4. Проверь тестовый аккаунт AmoCRM и подключение другого РОП.
5. После проверки восстанови конфигурацию данными из .env.</t>
        </is>
      </c>
      <c r="G7" s="2" t="inlineStr">
        <is>
          <t>Тестовый РОП больше не синхронизируется и видит понятное отсутствие подключения. Лиды в AmoCRM не удалены, другой РОП работает как раньше.</t>
        </is>
      </c>
      <c r="H7" s="21" t="inlineStr">
        <is>
          <t>High</t>
        </is>
      </c>
      <c r="I7" s="3" t="inlineStr">
        <is>
          <t>Not Run</t>
        </is>
      </c>
      <c r="J7" s="2" t="inlineStr">
        <is>
          <t>web|positive</t>
        </is>
      </c>
    </row>
    <row r="8" ht="122.8" customHeight="1">
      <c r="A8" s="3" t="inlineStr">
        <is>
          <t>TC-172</t>
        </is>
      </c>
      <c r="B8" s="2" t="inlineStr">
        <is>
          <t>Web/API — Интеграция AmoCRM</t>
        </is>
      </c>
      <c r="C8" s="2" t="inlineStr">
        <is>
          <t>AmoCRM / Воронки / Поля</t>
        </is>
      </c>
      <c r="D8" s="2" t="inlineStr">
        <is>
          <t>Синхронизация загружает воронки, статусы и группы полей
После подключения локальный каталог должен повторять структуру тестовой AmoCRM: активные воронки, статусы, группы полей и варианты списков.</t>
        </is>
      </c>
      <c r="E8" s="2" t="inlineStr">
        <is>
          <t>В тестовой AmoCRM заранее записан эталон: названия двух воронок, их статусы, группа «Operator AI», поля и варианты одного поля-списка.</t>
        </is>
      </c>
      <c r="F8" s="2" t="inlineStr">
        <is>
          <t>1. Подключи или повторно активируй AmoCRM тестового РОП.
2. Под РОП открой «Правила».
3. Раскрой поле «Воронка» и сравни список с эталоном.
4. Поочерёдно выбери воронки и сравни раздел «Статусы лида».
5. В разделе «Поля формы» выбери группу и проверь поля и варианты списка.</t>
        </is>
      </c>
      <c r="G8" s="2" t="inlineStr">
        <is>
          <t>Все активные элементы из AmoCRM присутствуют один раз, названия и варианты совпадают. Чужие аккаунты, архивные воронки и дубликаты не показаны.</t>
        </is>
      </c>
      <c r="H8" s="20" t="inlineStr">
        <is>
          <t>Critical</t>
        </is>
      </c>
      <c r="I8" s="3" t="inlineStr">
        <is>
          <t>Not Run</t>
        </is>
      </c>
      <c r="J8" s="2" t="inlineStr">
        <is>
          <t>web|positive</t>
        </is>
      </c>
    </row>
    <row r="9" ht="96.39999999999999" customHeight="1">
      <c r="A9" s="3" t="inlineStr">
        <is>
          <t>TC-173</t>
        </is>
      </c>
      <c r="B9" s="2" t="inlineStr">
        <is>
          <t>Web/API — Интеграция AmoCRM</t>
        </is>
      </c>
      <c r="C9" s="2" t="inlineStr">
        <is>
          <t>AmoCRM / Воронки / Поля</t>
        </is>
      </c>
      <c r="D9" s="2" t="inlineStr">
        <is>
          <t>Выбор воронки запускает загрузку её лидов и формы
РОП не должен отдельно искать кнопку синхронизации. Выбор воронки на экране «Правила» сам запускает загрузку лидов и группы полей.</t>
        </is>
      </c>
      <c r="E9" s="2" t="inlineStr">
        <is>
          <t>Подключение активно. В новой тестовой воронке есть один лид и группа «Operator AI» с полем, которых ещё нет в Operator AI.</t>
        </is>
      </c>
      <c r="F9" s="2" t="inlineStr">
        <is>
          <t>1. Под РОП открой «Правила».
2. В поле «Воронка» выбери новую тестовую воронку.
3. Дождись отметки «Воронка выбрана».
4. Подожди до 2 минут и обнови раздел один раз.
5. Проверь статусы, поле формы и наличие лида в локальных данных/очереди назначенного оператора.</t>
        </is>
      </c>
      <c r="G9" s="2" t="inlineStr">
        <is>
          <t>Без дополнительной команды появляются статусы, поле и тестовый лид выбранной воронки. Лид не создаётся повторно.</t>
        </is>
      </c>
      <c r="H9" s="20" t="inlineStr">
        <is>
          <t>Critical</t>
        </is>
      </c>
      <c r="I9" s="3" t="inlineStr">
        <is>
          <t>Not Run</t>
        </is>
      </c>
      <c r="J9" s="2" t="inlineStr">
        <is>
          <t>web|api|positive</t>
        </is>
      </c>
    </row>
    <row r="10" ht="96.39999999999999" customHeight="1">
      <c r="A10" s="3" t="inlineStr">
        <is>
          <t>TC-174</t>
        </is>
      </c>
      <c r="B10" s="2" t="inlineStr">
        <is>
          <t>Web/API — Интеграция AmoCRM</t>
        </is>
      </c>
      <c r="C10" s="2" t="inlineStr">
        <is>
          <t>AmoCRM / Воронки / Поля</t>
        </is>
      </c>
      <c r="D10" s="2" t="inlineStr">
        <is>
          <t>Назначение воронки оператору синхронизирует её без выбора основной
При мульти-воронке назначенная оператору воронка должна наполняться лидами, даже если в «Правилах» основной выбрана другая.</t>
        </is>
      </c>
      <c r="E10" s="2" t="inlineStr">
        <is>
          <t>У РОП в «Правилах» выбрана воронка A. В воронке B есть новый тестовый лид, которого ещё нет локально.</t>
        </is>
      </c>
      <c r="F10" s="2" t="inlineStr">
        <is>
          <t>1. Под РОП открой «Настройка очереди».
2. Назначь оператору воронку B, нажав её плашку.
3. Дождись сообщения «Сохранено».
4. Подожди до 2 минут.
5. Под оператором открой «Обзвон» и проверь тестовый лид B.</t>
        </is>
      </c>
      <c r="G10" s="2" t="inlineStr">
        <is>
          <t>Лид воронки B загружен и участвует в очереди оператора, хотя основной в «Правилах» осталась воронка A.</t>
        </is>
      </c>
      <c r="H10" s="20" t="inlineStr">
        <is>
          <t>Critical</t>
        </is>
      </c>
      <c r="I10" s="3" t="inlineStr">
        <is>
          <t>Not Run</t>
        </is>
      </c>
      <c r="J10" s="2" t="inlineStr">
        <is>
          <t>web|positive</t>
        </is>
      </c>
    </row>
    <row r="11" ht="96.39999999999999" customHeight="1">
      <c r="A11" s="3" t="inlineStr">
        <is>
          <t>TC-175</t>
        </is>
      </c>
      <c r="B11" s="2" t="inlineStr">
        <is>
          <t>Web/API — Интеграция AmoCRM</t>
        </is>
      </c>
      <c r="C11" s="2" t="inlineStr">
        <is>
          <t>AmoCRM / Воронки / Поля</t>
        </is>
      </c>
      <c r="D11" s="2" t="inlineStr">
        <is>
          <t>Группа с словом Operator автоматически становится формой
Автосборка ищет в AmoCRM группу полей, в названии которой есть слово `operator` без учёта регистра.</t>
        </is>
      </c>
      <c r="E11" s="2" t="inlineStr">
        <is>
          <t>В тестовой AmoCRM создана группа `QA oPeRaToR fields` с двумя полями. У РОП нет вручную привязанной формы к другой группе.</t>
        </is>
      </c>
      <c r="F11" s="2" t="inlineStr">
        <is>
          <t>1. Запусти синхронизацию выбором или назначением тестовой воронки.
2. Подожди до 2 минут и открой «Правила».
3. В разделе «Поля формы» раскрой список «Форма».
4. Выбери найденную группу и проверь два поля.
5. Открой инструкцию перед звонком тестового лида.</t>
        </is>
      </c>
      <c r="G11" s="2" t="inlineStr">
        <is>
          <t>Группа найдена несмотря на регистр, оба поля вошли в форму и показаны перед звонком. РОП не создаёт их вручную.</t>
        </is>
      </c>
      <c r="H11" s="21" t="inlineStr">
        <is>
          <t>High</t>
        </is>
      </c>
      <c r="I11" s="3" t="inlineStr">
        <is>
          <t>Not Run</t>
        </is>
      </c>
      <c r="J11" s="2" t="inlineStr">
        <is>
          <t>web|boundary</t>
        </is>
      </c>
    </row>
    <row r="12" ht="83.19999999999999" customHeight="1">
      <c r="A12" s="3" t="inlineStr">
        <is>
          <t>TC-176</t>
        </is>
      </c>
      <c r="B12" s="2" t="inlineStr">
        <is>
          <t>Web/API — Интеграция AmoCRM</t>
        </is>
      </c>
      <c r="C12" s="2" t="inlineStr">
        <is>
          <t>AmoCRM / Воронки / Поля</t>
        </is>
      </c>
      <c r="D12" s="2" t="inlineStr">
        <is>
          <t>Отсутствие группы Operator обрабатывается безопасно
Если подходящей группы нет, синхронизация не должна выбирать случайную группу или ломать статусы и лиды.</t>
        </is>
      </c>
      <c r="E12" s="2" t="inlineStr">
        <is>
          <t>В тестовой воронке есть лиды, статусы и несколько групп полей, но ни одно название не содержит `operator`. Ручной формы у РОП нет.</t>
        </is>
      </c>
      <c r="F12" s="2" t="inlineStr">
        <is>
          <t>1. Запусти синхронизацию воронки.
2. Открой «Правила».
3. Проверь статусы и список форм.
4. Под оператором открой инструкцию тестового лида.</t>
        </is>
      </c>
      <c r="G12" s="2" t="inlineStr">
        <is>
          <t>Лиды и статусы загружены, случайная форма не создана. Инструкция открывается без технической ошибки и не показывает поля из чужой группы.</t>
        </is>
      </c>
      <c r="H12" s="21" t="inlineStr">
        <is>
          <t>High</t>
        </is>
      </c>
      <c r="I12" s="3" t="inlineStr">
        <is>
          <t>Not Run</t>
        </is>
      </c>
      <c r="J12" s="2" t="inlineStr">
        <is>
          <t>web|negative</t>
        </is>
      </c>
    </row>
    <row r="13" ht="96.39999999999999" customHeight="1">
      <c r="A13" s="3" t="inlineStr">
        <is>
          <t>TC-177</t>
        </is>
      </c>
      <c r="B13" s="2" t="inlineStr">
        <is>
          <t>Web/API — Интеграция AmoCRM</t>
        </is>
      </c>
      <c r="C13" s="2" t="inlineStr">
        <is>
          <t>AmoCRM / Воронки / Поля</t>
        </is>
      </c>
      <c r="D13" s="2" t="inlineStr">
        <is>
          <t>Каждая воронка сохраняет свою группу Operator AI
Красная отмена E12/E3 запрещает выбирать одну «самую полную» форму для всех воронок. Каждая воронка должна сохранить собственный набор полей.</t>
        </is>
      </c>
      <c r="E13" s="2" t="inlineStr">
        <is>
          <t>В тестовом аккаунте группа `Operator AI` представлена для двух воронок: в первой 2 поля, во второй 5 полей.</t>
        </is>
      </c>
      <c r="F13" s="2" t="inlineStr">
        <is>
          <t>1. Запусти полную синхронизацию тестового РОП.
2. Открой лид и форму первой воронки, запиши два поля.
3. Открой лид и форму второй воронки, запиши пять полей.
4. Повтори синхронизацию и снова сравни обе формы.</t>
        </is>
      </c>
      <c r="G13" s="2" t="inlineStr">
        <is>
          <t>Первая воронка показывает только свои 2 поля, вторая — свои 5. Система не выбирает общую самую полную копию и не переносит три чужих поля в первую воронку.</t>
        </is>
      </c>
      <c r="H13" s="21" t="inlineStr">
        <is>
          <t>High</t>
        </is>
      </c>
      <c r="I13" s="3" t="inlineStr">
        <is>
          <t>Not Run</t>
        </is>
      </c>
      <c r="J13" s="2" t="inlineStr">
        <is>
          <t>web|api|boundary</t>
        </is>
      </c>
    </row>
    <row r="14" ht="96.39999999999999" customHeight="1">
      <c r="A14" s="3" t="inlineStr">
        <is>
          <t>TC-178</t>
        </is>
      </c>
      <c r="B14" s="2" t="inlineStr">
        <is>
          <t>Web/API — Интеграция AmoCRM</t>
        </is>
      </c>
      <c r="C14" s="2" t="inlineStr">
        <is>
          <t>AmoCRM / Воронки / Поля</t>
        </is>
      </c>
      <c r="D14" s="2" t="inlineStr">
        <is>
          <t>Добавление, переименование и удаление поля отражается после синхронизации
Локальная форма должна следовать актуальной группе AmoCRM и не оставлять устаревшие поля, которые AI потом попытался бы отправить.</t>
        </is>
      </c>
      <c r="E14" s="2" t="inlineStr">
        <is>
          <t>В группе `Operator AI` есть тестовое поле. Можно безопасно менять эту тестовую группу.</t>
        </is>
      </c>
      <c r="F14" s="2" t="inlineStr">
        <is>
          <t>1. В AmoCRM добавь новое тестовое поле и переименуй существующее.
2. Дождись синхронизации и проверь оба изменения в «Правилах».
3. Удали добавленное тестовое поле в AmoCRM.
4. Дождись следующей синхронизации и снова открой форму.</t>
        </is>
      </c>
      <c r="G14" s="2" t="inlineStr">
        <is>
          <t>Новое и переименованное поля появляются, удалённое исчезает. Нет старого и нового имени одновременно; остальные поля и подсказки сохранены.</t>
        </is>
      </c>
      <c r="H14" s="21" t="inlineStr">
        <is>
          <t>High</t>
        </is>
      </c>
      <c r="I14" s="3" t="inlineStr">
        <is>
          <t>Not Run</t>
        </is>
      </c>
      <c r="J14" s="2" t="inlineStr">
        <is>
          <t>web|positive</t>
        </is>
      </c>
    </row>
    <row r="15" ht="96.39999999999999" customHeight="1">
      <c r="A15" s="3" t="inlineStr">
        <is>
          <t>TC-179</t>
        </is>
      </c>
      <c r="B15" s="2" t="inlineStr">
        <is>
          <t>Web/API — Интеграция AmoCRM</t>
        </is>
      </c>
      <c r="C15" s="2" t="inlineStr">
        <is>
          <t>AmoCRM / Воронки / Поля</t>
        </is>
      </c>
      <c r="D15" s="2" t="inlineStr">
        <is>
          <t>Одинаковые названия статусов разных воронок не склеиваются
В мульти-воронке один и тот же текст статуса может иметь разные AmoCRM ID. Обе записи должны сохраниться и применяться только внутри своей воронки.</t>
        </is>
      </c>
      <c r="E15" s="2" t="inlineStr">
        <is>
          <t>В воронках A и B есть статус с одинаковым названием `Bugun keladi`, но разными ID.</t>
        </is>
      </c>
      <c r="F15" s="2" t="inlineStr">
        <is>
          <t>1. Запусти синхронизацию обеих воронок.
2. В «Правилах» выбери A и запиши статус.
3. Выбери B и запиши статус.
4. Проведи по одному ручному подтверждению лида каждой воронки этим статусом.
5. Проверь сделки в AmoCRM.</t>
        </is>
      </c>
      <c r="G15" s="2" t="inlineStr">
        <is>
          <t>В каталоге существуют две связанные записи. Каждый лид получает статус своей воронки, сделка не переезжает в другую воронку и AmoCRM не отвечает ошибкой 400.</t>
        </is>
      </c>
      <c r="H15" s="20" t="inlineStr">
        <is>
          <t>Critical</t>
        </is>
      </c>
      <c r="I15" s="3" t="inlineStr">
        <is>
          <t>Not Run</t>
        </is>
      </c>
      <c r="J15" s="2" t="inlineStr">
        <is>
          <t>web|boundary</t>
        </is>
      </c>
    </row>
    <row r="16" ht="83.19999999999999" customHeight="1">
      <c r="A16" s="3" t="inlineStr">
        <is>
          <t>TC-180</t>
        </is>
      </c>
      <c r="B16" s="2" t="inlineStr">
        <is>
          <t>Web/API — Интеграция AmoCRM</t>
        </is>
      </c>
      <c r="C16" s="2" t="inlineStr">
        <is>
          <t>AmoCRM / Воронки / Поля</t>
        </is>
      </c>
      <c r="D16" s="2" t="inlineStr">
        <is>
          <t>Новый лид появляется после фоновой синхронизации
Раз в две минуты система загружает лиды всех воронок, назначенных операторам.</t>
        </is>
      </c>
      <c r="E16" s="2" t="inlineStr">
        <is>
          <t>Оператору назначена тестовая воронка. Синхронизация и подключение активны.</t>
        </is>
      </c>
      <c r="F16" s="2" t="inlineStr">
        <is>
          <t>1. Запиши текущий счётчик очереди.
2. В AmoCRM создай уникальный лид в доступном статусе этой воронки.
3. Не нажимай ручных кнопок синхронизации.
4. Подожди до 2 минут 30 секунд.
5. Проверь список/очередь оператора и ID сделки.</t>
        </is>
      </c>
      <c r="G16" s="2" t="inlineStr">
        <is>
          <t>Лид появляется один раз, сохраняет исходный Amo ID и увеличивает очередь, если уже доступен по её правилам.</t>
        </is>
      </c>
      <c r="H16" s="20" t="inlineStr">
        <is>
          <t>Critical</t>
        </is>
      </c>
      <c r="I16" s="3" t="inlineStr">
        <is>
          <t>Not Run</t>
        </is>
      </c>
      <c r="J16" s="2" t="inlineStr">
        <is>
          <t>web|positive</t>
        </is>
      </c>
    </row>
    <row r="17" ht="96.39999999999999" customHeight="1">
      <c r="A17" s="3" t="inlineStr">
        <is>
          <t>TC-181</t>
        </is>
      </c>
      <c r="B17" s="2" t="inlineStr">
        <is>
          <t>Web/API — Интеграция AmoCRM</t>
        </is>
      </c>
      <c r="C17" s="2" t="inlineStr">
        <is>
          <t>AmoCRM / Воронки / Поля</t>
        </is>
      </c>
      <c r="D17" s="2" t="inlineStr">
        <is>
          <t>Изменения сделки из AmoCRM обновляют локальное зеркало
Имя, цена, статус и основной телефон должны приехать в Operator AI без создания второй локальной строки.</t>
        </is>
      </c>
      <c r="E17" s="2" t="inlineStr">
        <is>
          <t>Тестовый лид уже синхронизирован. Записаны его локальный ID и Amo ID.</t>
        </is>
      </c>
      <c r="F17" s="2" t="inlineStr">
        <is>
          <t>1. В AmoCRM измени имя, цену и статус тестового лида.
2. У основного контакта замени телефон на другой тестовый номер.
3. Дождись вебхука или следующего фонового прохода.
4. Открой строку и карточку сделки в Operator AI.</t>
        </is>
      </c>
      <c r="G17" s="2" t="inlineStr">
        <is>
          <t>Все четыре значения обновлены в прежней строке с теми же ID. Старой строки и дубликата сделки нет.</t>
        </is>
      </c>
      <c r="H17" s="20" t="inlineStr">
        <is>
          <t>Critical</t>
        </is>
      </c>
      <c r="I17" s="3" t="inlineStr">
        <is>
          <t>Not Run</t>
        </is>
      </c>
      <c r="J17" s="2" t="inlineStr">
        <is>
          <t>web|positive</t>
        </is>
      </c>
    </row>
    <row r="18" ht="96.39999999999999" customHeight="1">
      <c r="A18" s="3" t="inlineStr">
        <is>
          <t>TC-182</t>
        </is>
      </c>
      <c r="B18" s="2" t="inlineStr">
        <is>
          <t>Web/API — Интеграция AmoCRM</t>
        </is>
      </c>
      <c r="C18" s="2" t="inlineStr">
        <is>
          <t>AmoCRM / Воронки / Поля</t>
        </is>
      </c>
      <c r="D18" s="2" t="inlineStr">
        <is>
          <t>Новый или переименованный статус становится известен очереди
Фоновый проход обновляет каталог статусов до загрузки лидов. Иначе лид с новым статусом получил бы пустой класс и пропал из очереди.</t>
        </is>
      </c>
      <c r="E18" s="2" t="inlineStr">
        <is>
          <t>В тестовой воронке можно создать либо переименовать статус так, чтобы он содержал известный класс, например `Chala gaplashdi QA`.</t>
        </is>
      </c>
      <c r="F18" s="2" t="inlineStr">
        <is>
          <t>1. Создай или переименуй статус в AmoCRM.
2. Переведи тестовый лид в этот статус.
3. Подожди один полный проход синхронизации.
4. Открой «Правила» и затем очередь назначенного оператора.</t>
        </is>
      </c>
      <c r="G18" s="2" t="inlineStr">
        <is>
          <t>Статус показан как синхронизированный, у лида нет пустого статуса. После наступления времени лид участвует в очереди по классу `Chala`.</t>
        </is>
      </c>
      <c r="H18" s="20" t="inlineStr">
        <is>
          <t>Critical</t>
        </is>
      </c>
      <c r="I18" s="3" t="inlineStr">
        <is>
          <t>Not Run</t>
        </is>
      </c>
      <c r="J18" s="2" t="inlineStr">
        <is>
          <t>web|positive</t>
        </is>
      </c>
    </row>
    <row r="19" ht="96.39999999999999" customHeight="1">
      <c r="A19" s="3" t="inlineStr">
        <is>
          <t>TC-183</t>
        </is>
      </c>
      <c r="B19" s="2" t="inlineStr">
        <is>
          <t>Web/API — Интеграция AmoCRM</t>
        </is>
      </c>
      <c r="C19" s="2" t="inlineStr">
        <is>
          <t>AmoCRM / Воронки / Поля</t>
        </is>
      </c>
      <c r="D19" s="2" t="inlineStr">
        <is>
          <t>Удалённый или архивный лид исключается только после успешной сверки
Лид, удалённый в AmoCRM, должен исчезнуть из рабочей очереди. Однако массовое удаление разрешено только после полного успешного получения списка.</t>
        </is>
      </c>
      <c r="E19" s="2" t="inlineStr">
        <is>
          <t>В тестовой воронке два синхронизированных лида. Один можно удалить/архивировать, второй остаётся активным.</t>
        </is>
      </c>
      <c r="F19" s="2" t="inlineStr">
        <is>
          <t>1. Удали или архивируй первый лид в AmoCRM.
2. Дождись успешного фонового прохода.
3. Проверь очередь и обычный список Operator AI.
4. Проверь второй активный лид.</t>
        </is>
      </c>
      <c r="G19" s="2" t="inlineStr">
        <is>
          <t>Удалённый лид исключён из рабочего списка и очереди, активный остался. Ни одна другая сделка не помечена удалённой.</t>
        </is>
      </c>
      <c r="H19" s="20" t="inlineStr">
        <is>
          <t>Critical</t>
        </is>
      </c>
      <c r="I19" s="3" t="inlineStr">
        <is>
          <t>Not Run</t>
        </is>
      </c>
      <c r="J19" s="2" t="inlineStr">
        <is>
          <t>web|positive</t>
        </is>
      </c>
    </row>
    <row r="20" ht="96.39999999999999" customHeight="1">
      <c r="A20" s="3" t="inlineStr">
        <is>
          <t>TC-184</t>
        </is>
      </c>
      <c r="B20" s="2" t="inlineStr">
        <is>
          <t>Web/API — Интеграция AmoCRM</t>
        </is>
      </c>
      <c r="C20" s="2" t="inlineStr">
        <is>
          <t>AmoCRM / Воронки / Поля</t>
        </is>
      </c>
      <c r="D20" s="2" t="inlineStr">
        <is>
          <t>Ошибка посреди синхронизации не удаляет оставшиеся лиды
Регрессия R-13: если одна страница или один лид AmoCRM вернул ошибку, неполный ответ нельзя принимать за полный список и массово удалять данные.</t>
        </is>
      </c>
      <c r="E20" s="2" t="inlineStr">
        <is>
          <t>В тестовой воронке больше одной страницы лидов либо используется безопасный стаб AmoCRM. Можно вызвать ошибку на второй странице/конкретном лиде.</t>
        </is>
      </c>
      <c r="F20" s="2" t="inlineStr">
        <is>
          <t>1. Запиши число и несколько ID локальных лидов.
2. Запусти синхронизацию с подготовленной ошибкой в середине прохода.
3. Дождись завершения с ошибкой.
4. Открой список и очередь Operator AI.
5. Проверь журнал staging.</t>
        </is>
      </c>
      <c r="G20" s="2" t="inlineStr">
        <is>
          <t>Ранее сохранённые лиды не помечены удалёнными. Ошибка записана в журнал с воронкой/РОП; следующий проход может повторить синхронизацию.</t>
        </is>
      </c>
      <c r="H20" s="20" t="inlineStr">
        <is>
          <t>Critical</t>
        </is>
      </c>
      <c r="I20" s="3" t="inlineStr">
        <is>
          <t>Not Run</t>
        </is>
      </c>
      <c r="J20" s="2" t="inlineStr">
        <is>
          <t>api|negative</t>
        </is>
      </c>
    </row>
    <row r="21" ht="83.19999999999999" customHeight="1">
      <c r="A21" s="3" t="inlineStr">
        <is>
          <t>TC-185</t>
        </is>
      </c>
      <c r="B21" s="2" t="inlineStr">
        <is>
          <t>Web/API — Интеграция AmoCRM</t>
        </is>
      </c>
      <c r="C21" s="2" t="inlineStr">
        <is>
          <t>AmoCRM / Воронки / Поля</t>
        </is>
      </c>
      <c r="D21" s="2" t="inlineStr">
        <is>
          <t>Восстановленный в AmoCRM лид снова становится активным
Если ранее удалённая сделка снова присутствует в полном списке AmoCRM, локальная пометка удаления должна сниматься.</t>
        </is>
      </c>
      <c r="E21" s="2" t="inlineStr">
        <is>
          <t>Тестовый лид ранее был помечен удалённым локально. Его можно восстановить или воссоздать в тестовой AmoCRM с контролируемым ID/данными.</t>
        </is>
      </c>
      <c r="F21" s="2" t="inlineStr">
        <is>
          <t>1. Восстанови тестовый лид в AmoCRM.
2. Дождись полного успешного прохода.
3. Открой список Operator AI.
4. Если статус доступен, проверь очередь оператора.</t>
        </is>
      </c>
      <c r="G21" s="2" t="inlineStr">
        <is>
          <t>Лид снова показан как активный и при подходящем статусе возвращается в очередь. Существует одна локальная строка, история попыток не размножена.</t>
        </is>
      </c>
      <c r="H21" s="21" t="inlineStr">
        <is>
          <t>High</t>
        </is>
      </c>
      <c r="I21" s="3" t="inlineStr">
        <is>
          <t>Not Run</t>
        </is>
      </c>
      <c r="J21" s="2" t="inlineStr">
        <is>
          <t>web|positive</t>
        </is>
      </c>
    </row>
    <row r="22" ht="96.39999999999999" customHeight="1">
      <c r="A22" s="3" t="inlineStr">
        <is>
          <t>TC-186</t>
        </is>
      </c>
      <c r="B22" s="2" t="inlineStr">
        <is>
          <t>Web/API — Интеграция AmoCRM</t>
        </is>
      </c>
      <c r="C22" s="2" t="inlineStr">
        <is>
          <t>AmoCRM / Воронки / Поля</t>
        </is>
      </c>
      <c r="D22" s="2" t="inlineStr">
        <is>
          <t>Вебхук быстро приносит изменение конкретного лида
При настроенном публичном адресе изменение из AmoCRM должно приезжать почти сразу, не дожидаясь двухминутного фонового прохода.</t>
        </is>
      </c>
      <c r="E22" s="2" t="inlineStr">
        <is>
          <t>`AMOCRM_WEBHOOK_URL` настроен на staging, подписка активна. Тестовый лид синхронизирован.</t>
        </is>
      </c>
      <c r="F22" s="2" t="inlineStr">
        <is>
          <t>1. Открой строку лида в Operator AI и запиши текущее время.
2. В AmoCRM измени его имя или статус.
3. Не обновляй страницу вручную.
4. Засеки время до изменения строки.
5. Проверь журнал получения вебхука.</t>
        </is>
      </c>
      <c r="G22" s="2" t="inlineStr">
        <is>
          <t>Изменение появляется до следующего двухминутного прохода, в реальном времени или за несколько секунд. Обновлён только нужный лид.</t>
        </is>
      </c>
      <c r="H22" s="21" t="inlineStr">
        <is>
          <t>High</t>
        </is>
      </c>
      <c r="I22" s="3" t="inlineStr">
        <is>
          <t>Not Run</t>
        </is>
      </c>
      <c r="J22" s="2" t="inlineStr">
        <is>
          <t>web|positive</t>
        </is>
      </c>
    </row>
    <row r="23" ht="83.19999999999999" customHeight="1">
      <c r="A23" s="3" t="inlineStr">
        <is>
          <t>TC-187</t>
        </is>
      </c>
      <c r="B23" s="2" t="inlineStr">
        <is>
          <t>Web/API — Интеграция AmoCRM</t>
        </is>
      </c>
      <c r="C23" s="2" t="inlineStr">
        <is>
          <t>AmoCRM / Воронки / Поля</t>
        </is>
      </c>
      <c r="D23" s="2" t="inlineStr">
        <is>
          <t>Повторный вебхук не создаёт дубликат сделки
AmoCRM может доставить одно событие несколько раз. Повтор должен обновить ту же строку по Amo ID.</t>
        </is>
      </c>
      <c r="E23" s="2" t="inlineStr">
        <is>
          <t>Есть сохранённый тестовый payload вебхука обновления одного лида и безопасный способ повторной доставки на staging.</t>
        </is>
      </c>
      <c r="F23" s="2" t="inlineStr">
        <is>
          <t>1. Запиши локальный ID и число строк этого Amo ID.
2. Доставь один и тот же вебхук дважды.
3. Дождись обработки обоих запросов.
4. Обнови список Operator AI и проверь историю лида.</t>
        </is>
      </c>
      <c r="G23" s="2" t="inlineStr">
        <is>
          <t>Оба запроса обработаны безопасно. В системе одна строка с прежним локальным ID; дубликата лида и повторного изменения статуса нет.</t>
        </is>
      </c>
      <c r="H23" s="20" t="inlineStr">
        <is>
          <t>Critical</t>
        </is>
      </c>
      <c r="I23" s="3" t="inlineStr">
        <is>
          <t>Not Run</t>
        </is>
      </c>
      <c r="J23" s="2" t="inlineStr">
        <is>
          <t>web|api|negative</t>
        </is>
      </c>
    </row>
    <row r="24" ht="96.39999999999999" customHeight="1">
      <c r="A24" s="3" t="inlineStr">
        <is>
          <t>TC-188</t>
        </is>
      </c>
      <c r="B24" s="2" t="inlineStr">
        <is>
          <t>Web/API — Интеграция AmoCRM</t>
        </is>
      </c>
      <c r="C24" s="2" t="inlineStr">
        <is>
          <t>AmoCRM / Воронки / Поля</t>
        </is>
      </c>
      <c r="D24" s="2" t="inlineStr">
        <is>
          <t>Без вебхука изменения приезжают фоновым опросом
Вебхук — ускорение, но не единственный путь. При временно недоступном публичном адресе двухминутный планировщик должен восстановить актуальность.</t>
        </is>
      </c>
      <c r="E24" s="2" t="inlineStr">
        <is>
          <t>На staging безопасно отключена доставка AmoCRM-вебхука для тестового РОП, фоновая синхронизация включена.</t>
        </is>
      </c>
      <c r="F24" s="2" t="inlineStr">
        <is>
          <t>1. В AmoCRM измени тестовый лид.
2. Убедись, что вебхук не был доставлен.
3. Подожди до 2 минут 30 секунд.
4. Открой или обнови список Operator AI.
5. Верни вебхук в рабочее состояние.</t>
        </is>
      </c>
      <c r="G24" s="2" t="inlineStr">
        <is>
          <t>Изменение всё равно появляется после фонового прохода и не дублируется при последующем восстановлении вебхука.</t>
        </is>
      </c>
      <c r="H24" s="20" t="inlineStr">
        <is>
          <t>Critical</t>
        </is>
      </c>
      <c r="I24" s="3" t="inlineStr">
        <is>
          <t>Not Run</t>
        </is>
      </c>
      <c r="J24" s="2" t="inlineStr">
        <is>
          <t>web|negative</t>
        </is>
      </c>
    </row>
    <row r="25" ht="96.39999999999999" customHeight="1">
      <c r="A25" s="3" t="inlineStr">
        <is>
          <t>TC-189</t>
        </is>
      </c>
      <c r="B25" s="2" t="inlineStr">
        <is>
          <t>Web/API — Интеграция AmoCRM</t>
        </is>
      </c>
      <c r="C25" s="2" t="inlineStr">
        <is>
          <t>AmoCRM / Воронки / Поля</t>
        </is>
      </c>
      <c r="D25" s="2" t="inlineStr">
        <is>
          <t>AI-подтверждение обновляет сделку, а не создаёт новую
Ключевая регрессия: раньше отправка динамической формы создавала параллельную сделку. Теперь используется Amo ID лида, захваченного очередью.</t>
        </is>
      </c>
      <c r="E25" s="2" t="inlineStr">
        <is>
          <t>Есть отвеченный звонок с готовым AI-результатом. Записаны локальный ID, Amo ID и общее число сделок воронки до подтверждения.</t>
        </is>
      </c>
      <c r="F25" s="2" t="inlineStr">
        <is>
          <t>1. На экране рекомендации проверь статус и поля.
2. Нажми «Подтвердить».
3. Дождись синхронизации.
4. В AmoCRM открой сделку по записанному Amo ID.
5. Пересчитай сделки и поищи название `Dynamic form submission`.</t>
        </is>
      </c>
      <c r="G25" s="2" t="inlineStr">
        <is>
          <t>Обновлена исходная сделка с тем же Amo ID. Число сделок не выросло, параллельной `Dynamic form submission` нет; статус, поля и примечание записаны в исходную.</t>
        </is>
      </c>
      <c r="H25" s="20" t="inlineStr">
        <is>
          <t>Critical</t>
        </is>
      </c>
      <c r="I25" s="3" t="inlineStr">
        <is>
          <t>Not Run</t>
        </is>
      </c>
      <c r="J25" s="2" t="inlineStr">
        <is>
          <t>web|positive</t>
        </is>
      </c>
    </row>
    <row r="26" ht="96.39999999999999" customHeight="1">
      <c r="A26" s="3" t="inlineStr">
        <is>
          <t>TC-190</t>
        </is>
      </c>
      <c r="B26" s="2" t="inlineStr">
        <is>
          <t>Web/API — Интеграция AmoCRM</t>
        </is>
      </c>
      <c r="C26" s="2" t="inlineStr">
        <is>
          <t>AmoCRM / Воронки / Поля</t>
        </is>
      </c>
      <c r="D26" s="2" t="inlineStr">
        <is>
          <t>Ручное подтверждение отправляет поля в существующую сделку
Для браузерного или неотвеченного звонка без AI система должна передать не только статус, но и введённые оператором значения.</t>
        </is>
      </c>
      <c r="E26" s="2" t="inlineStr">
        <is>
          <t>Открыт ручной итог звонка. Записаны Amo ID сделки и её текущие пользовательские поля.</t>
        </is>
      </c>
      <c r="F26" s="2" t="inlineStr">
        <is>
          <t>1. Выбери допустимый статус и вручную заполни текстовое поле и поле оператора.
2. Нажми «Подтвердить».
3. Открой исходную сделку в AmoCRM.
4. Проверь статус, оба поля и число сделок.</t>
        </is>
      </c>
      <c r="G26" s="2" t="inlineStr">
        <is>
          <t>Статус и оба значения появились в исходной сделке. Поле оператора содержит реальный вариант списка, новая сделка не создана.</t>
        </is>
      </c>
      <c r="H26" s="20" t="inlineStr">
        <is>
          <t>Critical</t>
        </is>
      </c>
      <c r="I26" s="3" t="inlineStr">
        <is>
          <t>Not Run</t>
        </is>
      </c>
      <c r="J26" s="2" t="inlineStr">
        <is>
          <t>web|positive</t>
        </is>
      </c>
    </row>
    <row r="27" ht="96.39999999999999" customHeight="1">
      <c r="A27" s="3" t="inlineStr">
        <is>
          <t>TC-191</t>
        </is>
      </c>
      <c r="B27" s="2" t="inlineStr">
        <is>
          <t>Web/API — Интеграция AmoCRM</t>
        </is>
      </c>
      <c r="C27" s="2" t="inlineStr">
        <is>
          <t>AmoCRM / Воронки / Поля</t>
        </is>
      </c>
      <c r="D27" s="2" t="inlineStr">
        <is>
          <t>Дата и список отправляются в формате AmoCRM
AmoCRM принимает дату как число Unix, а поле-список — по ID реального варианта. Проверяем внешний результат, не техническое представление в интерфейсе.</t>
        </is>
      </c>
      <c r="E27" s="2" t="inlineStr">
        <is>
          <t>Форма содержит поле даты/времени и список филиалов с вариантами AmoCRM.</t>
        </is>
      </c>
      <c r="F27" s="2" t="inlineStr">
        <is>
          <t>1. На подтверждении выбери заметную дату и время по Ташкенту.
2. В списке выбери реальный тестовый филиал.
3. Нажми «Подтвердить».
4. Открой исходную сделку AmoCRM и сравни значения.
5. Проверь, что сделка осталась в своей воронке.</t>
        </is>
      </c>
      <c r="G27" s="2" t="inlineStr">
        <is>
          <t>В AmoCRM показаны выбранные местные дата/время и точный вариант филиала. Нет сдвига на день/часовой пояс, ошибки `NotSupportedChoice` или смены воронки.</t>
        </is>
      </c>
      <c r="H27" s="20" t="inlineStr">
        <is>
          <t>Critical</t>
        </is>
      </c>
      <c r="I27" s="3" t="inlineStr">
        <is>
          <t>Not Run</t>
        </is>
      </c>
      <c r="J27" s="2" t="inlineStr">
        <is>
          <t>web|boundary</t>
        </is>
      </c>
    </row>
    <row r="28" ht="109.6" customHeight="1">
      <c r="A28" s="3" t="inlineStr">
        <is>
          <t>TC-192</t>
        </is>
      </c>
      <c r="B28" s="2" t="inlineStr">
        <is>
          <t>Web/API — Интеграция AmoCRM</t>
        </is>
      </c>
      <c r="C28" s="2" t="inlineStr">
        <is>
          <t>AmoCRM / Воронки / Поля</t>
        </is>
      </c>
      <c r="D28" s="2" t="inlineStr">
        <is>
          <t>Недоступность AmoCRM при AI-подтверждении не даёт ложный успех
Критическая проверка: если PATCH сделки не дошёл, Operator AI не должен показывать «Отправлено в AmoCRM» и закрывать сессию как успешную.</t>
        </is>
      </c>
      <c r="E28" s="2" t="inlineStr">
        <is>
          <t>Есть готовый AI-результат. На staging безопасно заблокирован исходящий доступ к тестовой AmoCRM либо используется тестовый отказ PATCH.</t>
        </is>
      </c>
      <c r="F28" s="2" t="inlineStr">
        <is>
          <t>1. Запиши исходный статус/поля сделки и номер попытки.
2. Нажми «Подтвердить».
3. Проверь сообщение Operator AI и состояние формы.
4. Проверь исходную сделку в AmoCRM и номер попытки.
5. Восстанови доступ и повтори подтверждение.</t>
        </is>
      </c>
      <c r="G28" s="2" t="inlineStr">
        <is>
          <t>При отказе показана ошибка, а не сообщение об успехе; форма и сессия остаются для повтора, попытка не увеличивается. После восстановления обновление проходит один раз.</t>
        </is>
      </c>
      <c r="H28" s="20" t="inlineStr">
        <is>
          <t>Critical</t>
        </is>
      </c>
      <c r="I28" s="3" t="inlineStr">
        <is>
          <t>Not Run</t>
        </is>
      </c>
      <c r="J28" s="2" t="inlineStr">
        <is>
          <t>web|negative</t>
        </is>
      </c>
    </row>
    <row r="29" ht="83.19999999999999" customHeight="1">
      <c r="A29" s="3" t="inlineStr">
        <is>
          <t>TC-193</t>
        </is>
      </c>
      <c r="B29" s="2" t="inlineStr">
        <is>
          <t>Web/API — Интеграция AmoCRM</t>
        </is>
      </c>
      <c r="C29" s="2" t="inlineStr">
        <is>
          <t>AmoCRM / Воронки / Поля</t>
        </is>
      </c>
      <c r="D29" s="2" t="inlineStr">
        <is>
          <t>Недоступность AmoCRM при ручном подтверждении сохраняет форму
Тот же отказ проверяем для ручного пути без AI: введённые человеком данные нельзя потерять или посчитать отправленными.</t>
        </is>
      </c>
      <c r="E29" s="2" t="inlineStr">
        <is>
          <t>Открыт ручной итог с заполненными полями. Тестовая AmoCRM временно отвечает ошибкой.</t>
        </is>
      </c>
      <c r="F29" s="2" t="inlineStr">
        <is>
          <t>1. Нажми «Подтвердить».
2. Проверь сообщение и введённые поля.
3. Обнови исходную сделку AmoCRM и проверь, что она не изменилась.
4. Верни AmoCRM в рабочее состояние.
5. Повтори подтверждение и снова проверь сделку.</t>
        </is>
      </c>
      <c r="G29" s="2" t="inlineStr">
        <is>
          <t>Первая попытка показывает ошибку и сохраняет форму. После восстановления данные отправляются один раз в исходную сделку; дубликата и двойной попытки нет.</t>
        </is>
      </c>
      <c r="H29" s="20" t="inlineStr">
        <is>
          <t>Critical</t>
        </is>
      </c>
      <c r="I29" s="3" t="inlineStr">
        <is>
          <t>Not Run</t>
        </is>
      </c>
      <c r="J29" s="2" t="inlineStr">
        <is>
          <t>web|negative</t>
        </is>
      </c>
    </row>
    <row r="30" ht="96.39999999999999" customHeight="1">
      <c r="A30" s="3" t="inlineStr">
        <is>
          <t>TC-194</t>
        </is>
      </c>
      <c r="B30" s="2" t="inlineStr">
        <is>
          <t>Web/API — Интеграция AmoCRM</t>
        </is>
      </c>
      <c r="C30" s="2" t="inlineStr">
        <is>
          <t>AmoCRM / Воронки / Поля</t>
        </is>
      </c>
      <c r="D30" s="2" t="inlineStr">
        <is>
          <t>Просроченный Access token обновляется и запрос повторяется
При ответе 401 сервер должен использовать Refresh token, сохранить новые токены и повторить исходный запрос без участия оператора.</t>
        </is>
      </c>
      <c r="E30" s="2" t="inlineStr">
        <is>
          <t>В тестовой конфигурации безопасно установлен просроченный Access token и рабочий Refresh token. Секреты хранятся только в .env/на сервере.</t>
        </is>
      </c>
      <c r="F30" s="2" t="inlineStr">
        <is>
          <t>1. Запусти синхронизацию тестовой воронки или отправку изменения сделки.
2. Наблюдай результат и журнал staging, не копируя токены.
3. Повтори обычный запрос после завершения.
4. Проверь данные в Operator AI и AmoCRM.</t>
        </is>
      </c>
      <c r="G30" s="2" t="inlineStr">
        <is>
          <t>После первого 401 токен обновлён и операция завершается успешно. Пользователь не вводит токен повторно; в журнале нет значений Access/Refresh token.</t>
        </is>
      </c>
      <c r="H30" s="20" t="inlineStr">
        <is>
          <t>Critical</t>
        </is>
      </c>
      <c r="I30" s="3" t="inlineStr">
        <is>
          <t>Not Run</t>
        </is>
      </c>
      <c r="J30" s="2" t="inlineStr">
        <is>
          <t>web|api|boundary</t>
        </is>
      </c>
    </row>
    <row r="31" ht="96.39999999999999" customHeight="1">
      <c r="A31" s="3" t="inlineStr">
        <is>
          <t>TC-195</t>
        </is>
      </c>
      <c r="B31" s="2" t="inlineStr">
        <is>
          <t>Web/API — Интеграция AmoCRM</t>
        </is>
      </c>
      <c r="C31" s="2" t="inlineStr">
        <is>
          <t>AmoCRM / Воронки / Поля</t>
        </is>
      </c>
      <c r="D31" s="2" t="inlineStr">
        <is>
          <t>Ответ 429 повторяется с паузой и не теряет данные
AmoCRM ограничивает частоту запросов. Сервер делает до трёх попыток с растущими паузами и не должен оборвать всю синхронизацию после временного отказа.</t>
        </is>
      </c>
      <c r="E31" s="2" t="inlineStr">
        <is>
          <t>Используется тестовый стаб AmoCRM или безопасный прокси: первые два запроса возвращают 429, третий — успех. Подготовлен один тестовый лид.</t>
        </is>
      </c>
      <c r="F31" s="2" t="inlineStr">
        <is>
          <t>1. Запусти синхронизацию или PATCH тестового лида.
2. По журналу запиши время трёх запросов.
3. Дождись завершения операции.
4. Проверь тестовый лид в обеих системах.</t>
        </is>
      </c>
      <c r="G31" s="2" t="inlineStr">
        <is>
          <t>Сделано не более трёх запросов с паузами примерно 2 и 4 секунды. Третий успех сохраняет данные один раз; другие синхронизации продолжают работать.</t>
        </is>
      </c>
      <c r="H31" s="20" t="inlineStr">
        <is>
          <t>Critical</t>
        </is>
      </c>
      <c r="I31" s="3" t="inlineStr">
        <is>
          <t>Not Run</t>
        </is>
      </c>
      <c r="J31" s="2" t="inlineStr">
        <is>
          <t>api|boundary</t>
        </is>
      </c>
    </row>
    <row r="32" ht="96.39999999999999" customHeight="1">
      <c r="A32" s="3" t="inlineStr">
        <is>
          <t>TC-196</t>
        </is>
      </c>
      <c r="B32" s="2" t="inlineStr">
        <is>
          <t>Web/API — Интеграция AmoCRM</t>
        </is>
      </c>
      <c r="C32" s="2" t="inlineStr">
        <is>
          <t>AmoCRM / Воронки / Поля</t>
        </is>
      </c>
      <c r="D32" s="2" t="inlineStr">
        <is>
          <t>Один проблемный РОП не останавливает синхронизацию остальных
Планировщик обходит несколько компаний. Ошибка конфигурации одной компании должна быть записана и пропущена, а не завершать весь проход.</t>
        </is>
      </c>
      <c r="E32" s="2" t="inlineStr">
        <is>
          <t>Есть два тестовых РОП: у A конфигурация AmoCRM намеренно сломана, у B — рабочая. В назначенной воронке B создан новый лид.</t>
        </is>
      </c>
      <c r="F32" s="2" t="inlineStr">
        <is>
          <t>1. Дождись очередного двухминутного прохода.
2. Проверь журнал по РОП A и B.
3. Под оператором РОП B открой очередь и найди новый лид.
4. Проверь, что кабинет РОП A показывает ошибку только своей интеграции.</t>
        </is>
      </c>
      <c r="G32" s="2" t="inlineStr">
        <is>
          <t>Ошибка A записана с его ID, но лид B успешно синхронизирован. Данные компаний не смешиваются, общий планировщик продолжает следующие проходы.</t>
        </is>
      </c>
      <c r="H32" s="20" t="inlineStr">
        <is>
          <t>Critical</t>
        </is>
      </c>
      <c r="I32" s="3" t="inlineStr">
        <is>
          <t>Not Run</t>
        </is>
      </c>
      <c r="J32" s="2" t="inlineStr">
        <is>
          <t>web|api|negative</t>
        </is>
      </c>
    </row>
    <row r="33" ht="96.39999999999999" customHeight="1">
      <c r="A33" s="3" t="inlineStr">
        <is>
          <t>TC-197</t>
        </is>
      </c>
      <c r="B33" s="2" t="inlineStr">
        <is>
          <t>Web/API — Интеграция AmoCRM</t>
        </is>
      </c>
      <c r="C33" s="2" t="inlineStr">
        <is>
          <t>AmoCRM / Воронки / Поля</t>
        </is>
      </c>
      <c r="D33" s="2" t="inlineStr">
        <is>
          <t>Повторная отправка одного результата не создаёт новую сделку
Один и тот же call ID может быть отправлен повторно после неясного сетевого ответа. Повтор должен переиспользовать запись отправки и тот же Amo ID.</t>
        </is>
      </c>
      <c r="E33" s="2" t="inlineStr">
        <is>
          <t>Есть уже подтверждённый звонок с известными call ID, Amo ID и числом сделок.</t>
        </is>
      </c>
      <c r="F33" s="2" t="inlineStr">
        <is>
          <t>1. Через тестовый API повторно отправь тот же результат звонка с тем же call ID.
2. Дождись ответа.
3. Открой исходную сделку и её историю.
4. Пересчитай сделки воронки.</t>
        </is>
      </c>
      <c r="G33" s="2" t="inlineStr">
        <is>
          <t>Повтор обновляет ту же сделку и не создаёт новую. В системе одна запись отправки на call ID; одинаковое примечание не размножается.</t>
        </is>
      </c>
      <c r="H33" s="20" t="inlineStr">
        <is>
          <t>Critical</t>
        </is>
      </c>
      <c r="I33" s="3" t="inlineStr">
        <is>
          <t>Not Run</t>
        </is>
      </c>
      <c r="J33" s="2" t="inlineStr">
        <is>
          <t>web|api|negative</t>
        </is>
      </c>
    </row>
    <row r="34" ht="96.39999999999999" customHeight="1">
      <c r="A34" s="3" t="inlineStr">
        <is>
          <t>TC-198</t>
        </is>
      </c>
      <c r="B34" s="2" t="inlineStr">
        <is>
          <t>Web/API — Интеграция AmoCRM</t>
        </is>
      </c>
      <c r="C34" s="2" t="inlineStr">
        <is>
          <t>AmoCRM / Воронки / Поля</t>
        </is>
      </c>
      <c r="D34" s="2" t="inlineStr">
        <is>
          <t>Сбой сети при подключении не создаёт конфигурацию-призрак
Если ответ на создание подключения потерялся, супер-админ должен однозначно понять, создалась конфигурация или нет, и не получить дубль при повторе.</t>
        </is>
      </c>
      <c r="E34" s="2" t="inlineStr">
        <is>
          <t>Есть тестовый РОП без подключения. Инструменты браузера позволяют оборвать сеть сразу после нажатия кнопки.</t>
        </is>
      </c>
      <c r="F34" s="2" t="inlineStr">
        <is>
          <t>1. Заполни форму подключения тестовыми данными.
2. Нажми «Подключить» и сразу включи Offline.
3. Верни сеть, обнови список РОП и снова открой подключение.
4. Если конфигурации нет — отправь форму ещё раз; если есть — не создавай повторно.
5. Через API проверь число конфигураций РОП.</t>
        </is>
      </c>
      <c r="G34" s="2" t="inlineStr">
        <is>
          <t>После восстановления показано реальное состояние. У РОП либо одна рабочая конфигурация, либо ни одной до безопасного повтора; конфигурации-призрака и дубля нет.</t>
        </is>
      </c>
      <c r="H34" s="21" t="inlineStr">
        <is>
          <t>High</t>
        </is>
      </c>
      <c r="I34" s="3" t="inlineStr">
        <is>
          <t>Not Run</t>
        </is>
      </c>
      <c r="J34" s="2" t="inlineStr">
        <is>
          <t>web|api|negative</t>
        </is>
      </c>
    </row>
    <row r="35" ht="96.39999999999999" customHeight="1">
      <c r="A35" s="3" t="inlineStr">
        <is>
          <t>TC-199</t>
        </is>
      </c>
      <c r="B35" s="2" t="inlineStr">
        <is>
          <t>Web/API — Интеграция AmoCRM</t>
        </is>
      </c>
      <c r="C35" s="2" t="inlineStr">
        <is>
          <t>AmoCRM / Воронки / Поля</t>
        </is>
      </c>
      <c r="D35" s="2" t="inlineStr">
        <is>
          <t>Секреты AmoCRM не попадают в интерфейс и журналы
Client secret, Access token и Refresh token нельзя возвращать в API, показывать в карточке РОП или печатать при ошибках интеграции.</t>
        </is>
      </c>
      <c r="E35" s="2" t="inlineStr">
        <is>
          <t>Подключение создано. Есть доступ к ответу API и журналу staging только для чтения. Контрольные части секретов берутся из .env и не копируются в кейс.</t>
        </is>
      </c>
      <c r="F35" s="2" t="inlineStr">
        <is>
          <t>1. Открой сведения подключения в карточке РОП.
2. В Postman запроси конфигурацию по её ID.
3. Безопасно вызови ошибку подключения или обновления токена.
4. Поищи контрольные части трёх секретов в ответах и журнале.</t>
        </is>
      </c>
      <c r="G35" s="2" t="inlineStr">
        <is>
          <t>В интерфейсе и ответе есть только несекретные поля. Client secret, Access token и Refresh token отсутствуют в ответах, URL и журналах даже при ошибке.</t>
        </is>
      </c>
      <c r="H35" s="20" t="inlineStr">
        <is>
          <t>Critical</t>
        </is>
      </c>
      <c r="I35" s="3" t="inlineStr">
        <is>
          <t>Not Run</t>
        </is>
      </c>
      <c r="J35" s="2" t="inlineStr">
        <is>
          <t>web|api|negative</t>
        </is>
      </c>
    </row>
  </sheetData>
  <autoFilter ref="A1:J35"/>
  <conditionalFormatting sqref="I2:I6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5" showDropDown="0" showInputMessage="0" showErrorMessage="0" allowBlank="1" errorTitle="Недопустимое значение" error="Выбери значение из списка: Critical, High, Medium, Low" type="list">
      <formula1>"Critical,High,Medium,Low"</formula1>
    </dataValidation>
    <dataValidation sqref="I2:I6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49.2" customHeight="1">
      <c r="A2" s="3" t="inlineStr">
        <is>
          <t>TC-200</t>
        </is>
      </c>
      <c r="B2" s="2" t="inlineStr">
        <is>
          <t>Web/API — Интеграция OnlinePBX</t>
        </is>
      </c>
      <c r="C2" s="2" t="inlineStr">
        <is>
          <t>OnlinePBX / WebRTC / Вебхуки</t>
        </is>
      </c>
      <c r="D2" s="2" t="inlineStr">
        <is>
          <t>Супер-админ подключает OnlinePBX к РОП
Проверяем основной путь подключения телефонии. После него система должна получать звонки именно компании выбранного РОП.</t>
        </is>
      </c>
      <c r="E2" s="2" t="inlineStr">
        <is>
          <t>Работа ведётся только на staging. Есть тестовый РОП без подключения OnlinePBX. Domain и API key тестовой телефонии хранятся в .env.</t>
        </is>
      </c>
      <c r="F2" s="2" t="inlineStr">
        <is>
          <t>1. Войди под супер-админом и открой раздел «РОПы».
2. Открой карточку тестового РОП и нажми строку «OnlinePBX».
3. Убедись, что заголовок окна — «Подключение OnlinePBX: …» и указано имя нужного РОП.
4. В поле «Domain» введи домен тестовой телефонии без `https://`.
5. В поле «API key» вставь тестовый ключ из .env.
6. Нажми «Подключить».
7. Снова открой строку «OnlinePBX» у этого РОП.</t>
        </is>
      </c>
      <c r="G2" s="2" t="inlineStr">
        <is>
          <t>Показано сообщение «OnlinePBX подключён». В карточке именно этого РОП стоит «Подключено», а в окне видны правильный Domain, непустой Webhook token и время обновления. У другого РОП подключение не появилось.</t>
        </is>
      </c>
      <c r="H2" s="20" t="inlineStr">
        <is>
          <t>Critical</t>
        </is>
      </c>
      <c r="I2" s="3" t="inlineStr">
        <is>
          <t>Not Run</t>
        </is>
      </c>
      <c r="J2" s="2" t="inlineStr">
        <is>
          <t>web|api|positive</t>
        </is>
      </c>
    </row>
    <row r="3" ht="83.19999999999999" customHeight="1">
      <c r="A3" s="3" t="inlineStr">
        <is>
          <t>TC-201</t>
        </is>
      </c>
      <c r="B3" s="2" t="inlineStr">
        <is>
          <t>Web/API — Интеграция OnlinePBX</t>
        </is>
      </c>
      <c r="C3" s="2" t="inlineStr">
        <is>
          <t>OnlinePBX / WebRTC / Вебхуки</t>
        </is>
      </c>
      <c r="D3" s="2" t="inlineStr">
        <is>
          <t>Пустые Domain и API key не сохраняются
Без адреса телефонии и ключа доступа подключение работать не может. Проверяем понятные подсказки и отсутствие пустой конфигурации.</t>
        </is>
      </c>
      <c r="E3" s="2" t="inlineStr">
        <is>
          <t>Выполнен вход под супер-админом. Есть тестовый РОП без OnlinePBX.</t>
        </is>
      </c>
      <c r="F3" s="2" t="inlineStr">
        <is>
          <t>1. Открой у РОП окно «Подключение OnlinePBX».
2. Оставь поля «Domain» и «API key» пустыми.
3. Щёлкни сначала внутри каждого поля, затем вне поля.
4. Посмотри подсказки и кнопку «Подключить».
5. Обнови страницу и снова открой это окно.</t>
        </is>
      </c>
      <c r="G3" s="2" t="inlineStr">
        <is>
          <t>Показаны сообщения «Domain обязателен» и «API key обязателен». Кнопка «Подключить» неактивна, после обновления OnlinePBX остаётся неподключённым.</t>
        </is>
      </c>
      <c r="H3" s="21" t="inlineStr">
        <is>
          <t>High</t>
        </is>
      </c>
      <c r="I3" s="3" t="inlineStr">
        <is>
          <t>Not Run</t>
        </is>
      </c>
      <c r="J3" s="2" t="inlineStr">
        <is>
          <t>web|negative</t>
        </is>
      </c>
    </row>
    <row r="4" ht="122.8" customHeight="1">
      <c r="A4" s="3" t="inlineStr">
        <is>
          <t>TC-202</t>
        </is>
      </c>
      <c r="B4" s="2" t="inlineStr">
        <is>
          <t>Web/API — Интеграция OnlinePBX</t>
        </is>
      </c>
      <c r="C4" s="2" t="inlineStr">
        <is>
          <t>OnlinePBX / WebRTC / Вебхуки</t>
        </is>
      </c>
      <c r="D4" s="2" t="inlineStr">
        <is>
          <t>Неверный API key не даёт ложное «Подключено»
Сохранить случайный текст вместо ключа недостаточно: система должна проверить доступ к OnlinePBX и не называть нерабочую запись подключением.</t>
        </is>
      </c>
      <c r="E4" s="2" t="inlineStr">
        <is>
          <t>Есть тестовый РОП без подключения. Подготовлен заведомо неверный API key, не совпадающий ни с одним настоящим секретом.</t>
        </is>
      </c>
      <c r="F4" s="2" t="inlineStr">
        <is>
          <t>1. Открой окно подключения OnlinePBX.
2. Введи правильный тестовый Domain.
3. В поле «API key» введи заведомо неверное значение.
4. Нажми «Подключить».
5. Если окно закрылось, снова открой OnlinePBX и нажми «Проверить подключение» в карточке РОП.
6. Попробуй загрузить список внутренних номеров при создании тестового оператора.</t>
        </is>
      </c>
      <c r="G4" s="2" t="inlineStr">
        <is>
          <t>Показана ошибка подключения; состояние «Подключено» не устанавливается. Нерабочая конфигурация не используется для звонков и списка внутренних номеров. Если система сохранила любой ключ и показала успех — это дефект проверки подключения.</t>
        </is>
      </c>
      <c r="H4" s="20" t="inlineStr">
        <is>
          <t>Critical</t>
        </is>
      </c>
      <c r="I4" s="3" t="inlineStr">
        <is>
          <t>Not Run</t>
        </is>
      </c>
      <c r="J4" s="2" t="inlineStr">
        <is>
          <t>web|api|negative</t>
        </is>
      </c>
    </row>
    <row r="5" ht="96.39999999999999" customHeight="1">
      <c r="A5" s="3" t="inlineStr">
        <is>
          <t>TC-203</t>
        </is>
      </c>
      <c r="B5" s="2" t="inlineStr">
        <is>
          <t>Web/API — Интеграция OnlinePBX</t>
        </is>
      </c>
      <c r="C5" s="2" t="inlineStr">
        <is>
          <t>OnlinePBX / WebRTC / Вебхуки</t>
        </is>
      </c>
      <c r="D5" s="2" t="inlineStr">
        <is>
          <t>Domain очищается от пробелов и приводится к нижнему регистру
Одинаковый домен, введённый как ` PBX23571.ONPBX.RU `, должен храниться в одном понятном виде и подходить к домену из вебхука.</t>
        </is>
      </c>
      <c r="E5" s="2" t="inlineStr">
        <is>
          <t>Есть тестовый РОП без подключения и действующий тестовый API key.</t>
        </is>
      </c>
      <c r="F5" s="2" t="inlineStr">
        <is>
          <t>1. В поле «Domain» введи рабочий домен с пробелом в начале, пробелом в конце и заглавными буквами.
2. Введи рабочий API key и нажми «Подключить».
3. Снова открой сведения OnlinePBX.
4. Сравни показанный Domain с исходным доменом.
5. Отправь один тестовый вебхук с тем же доменом в нижнем регистре.</t>
        </is>
      </c>
      <c r="G5" s="2" t="inlineStr">
        <is>
          <t>Domain сохранён без внешних пробелов и строчными буквами. Тестовый вебхук принимается той же конфигурацией; второй вариант домена не создаётся.</t>
        </is>
      </c>
      <c r="H5" s="21" t="inlineStr">
        <is>
          <t>High</t>
        </is>
      </c>
      <c r="I5" s="3" t="inlineStr">
        <is>
          <t>Not Run</t>
        </is>
      </c>
      <c r="J5" s="2" t="inlineStr">
        <is>
          <t>web|api|boundary</t>
        </is>
      </c>
    </row>
    <row r="6" ht="109.6" customHeight="1">
      <c r="A6" s="3" t="inlineStr">
        <is>
          <t>TC-204</t>
        </is>
      </c>
      <c r="B6" s="2" t="inlineStr">
        <is>
          <t>Web/API — Интеграция OnlinePBX</t>
        </is>
      </c>
      <c r="C6" s="2" t="inlineStr">
        <is>
          <t>OnlinePBX / WebRTC / Вебхуки</t>
        </is>
      </c>
      <c r="D6" s="2" t="inlineStr">
        <is>
          <t>Слишком длинные Domain и API key обрабатываются безопасно
Проверяем защиту от случайной вставки огромного текста. Интерфейс не должен зависнуть, а сервер — сохранить заведомо непригодные значения как рабочее подключение.</t>
        </is>
      </c>
      <c r="E6" s="2" t="inlineStr">
        <is>
          <t>Есть тестовый РОП без OnlinePBX. Подготовлены строки длиной около 5000 символов без секретов.</t>
        </is>
      </c>
      <c r="F6" s="2" t="inlineStr">
        <is>
          <t>1. Открой окно подключения.
2. Вставь строку из 5000 букв в поле «Domain».
3. Вставь другую строку из 5000 букв в поле «API key».
4. Нажми «Подключить», если кнопка активна.
5. Обнови страницу и проверь состояние OnlinePBX у РОП.</t>
        </is>
      </c>
      <c r="G6" s="2" t="inlineStr">
        <is>
          <t>Страница остаётся отзывчивой. Показана ошибка формата или длины, а подключение не помечено рабочим. В сообщении и адресной строке не повторяется введённая длинная строка целиком.</t>
        </is>
      </c>
      <c r="H6" s="22" t="inlineStr">
        <is>
          <t>Medium</t>
        </is>
      </c>
      <c r="I6" s="3" t="inlineStr">
        <is>
          <t>Not Run</t>
        </is>
      </c>
      <c r="J6" s="2" t="inlineStr">
        <is>
          <t>web|boundary</t>
        </is>
      </c>
    </row>
    <row r="7" ht="109.6" customHeight="1">
      <c r="A7" s="3" t="inlineStr">
        <is>
          <t>TC-205</t>
        </is>
      </c>
      <c r="B7" s="2" t="inlineStr">
        <is>
          <t>Web/API — Интеграция OnlinePBX</t>
        </is>
      </c>
      <c r="C7" s="2" t="inlineStr">
        <is>
          <t>/v1/onlinepbx/configs</t>
        </is>
      </c>
      <c r="D7" s="2" t="inlineStr">
        <is>
          <t>Повторное подключение не создаёт две конфигурации
У одного РОП должна быть одна активная конфигурация OnlinePBX. Двойной щелчок или повтор запроса не должны создать два Webhook token и двойную обработку звонков.</t>
        </is>
      </c>
      <c r="E7" s="2" t="inlineStr">
        <is>
          <t>Есть тестовый РОП без OnlinePBX и рабочие тестовые данные подключения.</t>
        </is>
      </c>
      <c r="F7" s="2" t="inlineStr">
        <is>
          <t>1. Заполни Domain и API key.
2. Быстро дважды нажми «Подключить».
3. Дождись завершения и обнови страницу.
4. Через Postman запроси `GET {STAGE_API_URL}/v1/onlinepbx/configs` с токеном супер-админа.
5. Найди все элементы с `rop_id` тестового РОП.</t>
        </is>
      </c>
      <c r="G7" s="2" t="inlineStr">
        <is>
          <t>Кнопка блокируется во время отправки. Для РОП существует ровно одна конфигурация и один Webhook token; повторный запрос не включает двойную обработку событий.</t>
        </is>
      </c>
      <c r="H7" s="20" t="inlineStr">
        <is>
          <t>Critical</t>
        </is>
      </c>
      <c r="I7" s="3" t="inlineStr">
        <is>
          <t>Not Run</t>
        </is>
      </c>
      <c r="J7" s="2" t="inlineStr">
        <is>
          <t>web|api|negative</t>
        </is>
      </c>
    </row>
    <row r="8" ht="109.6" customHeight="1">
      <c r="A8" s="3" t="inlineStr">
        <is>
          <t>TC-206</t>
        </is>
      </c>
      <c r="B8" s="2" t="inlineStr">
        <is>
          <t>Web/API — Интеграция OnlinePBX</t>
        </is>
      </c>
      <c r="C8" s="2" t="inlineStr">
        <is>
          <t>OnlinePBX / WebRTC / Вебхуки</t>
        </is>
      </c>
      <c r="D8" s="2" t="inlineStr">
        <is>
          <t>Потеря сети при подключении не создаёт конфигурацию-призрак
Если ответ сервера потерялся, после восстановления должно быть ясно, сохранилось подключение или нет. Безопасный повтор не должен создать дубль.</t>
        </is>
      </c>
      <c r="E8" s="2" t="inlineStr">
        <is>
          <t>Есть РОП без OnlinePBX. В инструментах браузера можно включить режим Offline.</t>
        </is>
      </c>
      <c r="F8" s="2" t="inlineStr">
        <is>
          <t>1. Заполни форму рабочими тестовыми данными.
2. Нажми «Подключить» и сразу включи Offline.
3. Через несколько секунд верни сеть и обнови страницу.
4. Снова открой OnlinePBX у этого РОП.
5. Если конфигурации нет — повтори подключение один раз.
6. Через API посчитай конфигурации этого РОП.</t>
        </is>
      </c>
      <c r="G8" s="2" t="inlineStr">
        <is>
          <t>После восстановления показано фактическое состояние. В итоге есть одна рабочая конфигурация или ни одной до повтора; дублей и ложного сообщения об успехе нет.</t>
        </is>
      </c>
      <c r="H8" s="21" t="inlineStr">
        <is>
          <t>High</t>
        </is>
      </c>
      <c r="I8" s="3" t="inlineStr">
        <is>
          <t>Not Run</t>
        </is>
      </c>
      <c r="J8" s="2" t="inlineStr">
        <is>
          <t>web|api|negative</t>
        </is>
      </c>
    </row>
    <row r="9" ht="109.6" customHeight="1">
      <c r="A9" s="3" t="inlineStr">
        <is>
          <t>TC-207</t>
        </is>
      </c>
      <c r="B9" s="2" t="inlineStr">
        <is>
          <t>Web/API — Интеграция OnlinePBX</t>
        </is>
      </c>
      <c r="C9" s="2" t="inlineStr">
        <is>
          <t>OnlinePBX / WebRTC / Вебхуки</t>
        </is>
      </c>
      <c r="D9" s="2" t="inlineStr">
        <is>
          <t>Удаление OnlinePBX прекращает приём звонков компании
Удаление подключения должно действительно разорвать связь: старый Webhook token после этого не является пропуском для новых звонков.</t>
        </is>
      </c>
      <c r="E9" s="2" t="inlineStr">
        <is>
          <t>У тестового РОП подключён OnlinePBX. Сохранён его Webhook token только во временной переменной Postman, не в документе.</t>
        </is>
      </c>
      <c r="F9" s="2" t="inlineStr">
        <is>
          <t>1. Открой у РОП строку «OnlinePBX».
2. Нажми «Удалить» и дождись сообщения «Конфигурация OnlinePBX удалена».
3. Обнови карточку РОП и проверь состояние подключения.
4. Отправь безопасный тестовый вебхук со старым токеном и уникальным UUID.
5. Проверь список звонков.</t>
        </is>
      </c>
      <c r="G9" s="2" t="inlineStr">
        <is>
          <t>Карточка показывает «Не подключено — нажмите для настройки». Старый токен отклоняется, тестовый звонок не появляется и AI не запускается.</t>
        </is>
      </c>
      <c r="H9" s="20" t="inlineStr">
        <is>
          <t>Critical</t>
        </is>
      </c>
      <c r="I9" s="3" t="inlineStr">
        <is>
          <t>Not Run</t>
        </is>
      </c>
      <c r="J9" s="2" t="inlineStr">
        <is>
          <t>web|api|negative</t>
        </is>
      </c>
    </row>
    <row r="10" ht="136" customHeight="1">
      <c r="A10" s="3" t="inlineStr">
        <is>
          <t>TC-208</t>
        </is>
      </c>
      <c r="B10" s="2" t="inlineStr">
        <is>
          <t>Web/API — Интеграция OnlinePBX</t>
        </is>
      </c>
      <c r="C10" s="2" t="inlineStr">
        <is>
          <t>/v1/onlinepbx/configs · /v1/onlinepbx/configs/{id}</t>
        </is>
      </c>
      <c r="D10" s="2" t="inlineStr">
        <is>
          <t>РОП и оператор не управляют конфигурациями OnlinePBX через API
Скрытой кнопки недостаточно. Методы просмотра, создания, изменения и удаления подключений должны проверять роль на сервере.</t>
        </is>
      </c>
      <c r="E10" s="2" t="inlineStr">
        <is>
          <t>Есть токены тестового РОП и оператора, ID существующей конфигурации другого тестового РОП и безопасные тестовые данные.</t>
        </is>
      </c>
      <c r="F10" s="2" t="inlineStr">
        <is>
          <t>1. В Postman с токеном РОП отправь `GET /v1/onlinepbx/configs`.
2. С тем же токеном отправь `POST /v1/onlinepbx/configs` с тестовым `rop_id`, Domain и API key.
3. Отправь `PATCH /v1/onlinepbx/configs/{id}` с заменой Domain.
4. Отправь `DELETE /v1/onlinepbx/configs/{id}`.
5. Повтори четыре запроса с токеном оператора.
6. Под супер-админом проверь, что исходная конфигурация не изменилась.</t>
        </is>
      </c>
      <c r="G10" s="2" t="inlineStr">
        <is>
          <t>Все восемь запросов возвращают 403 («нет прав»), не 200/201. Список и секреты не раскрыты, новая конфигурация не создана, существующая не изменена и не удалена.</t>
        </is>
      </c>
      <c r="H10" s="20" t="inlineStr">
        <is>
          <t>Critical</t>
        </is>
      </c>
      <c r="I10" s="3" t="inlineStr">
        <is>
          <t>Not Run</t>
        </is>
      </c>
      <c r="J10" s="2" t="inlineStr">
        <is>
          <t>api|negative</t>
        </is>
      </c>
    </row>
    <row r="11" ht="96.39999999999999" customHeight="1">
      <c r="A11" s="3" t="inlineStr">
        <is>
          <t>TC-209</t>
        </is>
      </c>
      <c r="B11" s="2" t="inlineStr">
        <is>
          <t>Web/API — Интеграция OnlinePBX</t>
        </is>
      </c>
      <c r="C11" s="2" t="inlineStr">
        <is>
          <t>/v1/onlinepbx/configs · /v1/onlinepbx/configs/{id}</t>
        </is>
      </c>
      <c r="D11" s="2" t="inlineStr">
        <is>
          <t>API key OnlinePBX не возвращается и не попадает в журналы
API key даёт доступ к телефонии и является секретом. Фронтенд прямо рассчитывает, что сервер не возвращает сохранённый `call_token`; проверяем это отдельно.</t>
        </is>
      </c>
      <c r="E11" s="2" t="inlineStr">
        <is>
          <t>OnlinePBX подключён. Есть доступ на чтение ответов API и журнала staging. Контрольный фрагмент ключа берётся из .env и нигде не сохраняется.</t>
        </is>
      </c>
      <c r="F11" s="2" t="inlineStr">
        <is>
          <t>1. Открой сведения OnlinePBX в карточке РОП.
2. Под супер-админом запроси `GET /v1/onlinepbx/configs`.
3. Запроси `GET /v1/onlinepbx/configs/{id}`.
4. Безопасно вызови ошибку проверки телефонии.
5. Поищи контрольный фрагмент API key в интерфейсе, двух ответах, адресах запросов и журнале.</t>
        </is>
      </c>
      <c r="G11" s="2" t="inlineStr">
        <is>
          <t>API key нигде не отображается и не возвращается; поле `call_token` отсутствует или замаскировано без возможности восстановить ключ. В журналах и URL секрета нет. Webhook token показывается отдельно только супер-админу.</t>
        </is>
      </c>
      <c r="H11" s="20" t="inlineStr">
        <is>
          <t>Critical</t>
        </is>
      </c>
      <c r="I11" s="3" t="inlineStr">
        <is>
          <t>Not Run</t>
        </is>
      </c>
      <c r="J11" s="2" t="inlineStr">
        <is>
          <t>web|api|negative</t>
        </is>
      </c>
    </row>
    <row r="12" ht="149.2" customHeight="1">
      <c r="A12" s="3" t="inlineStr">
        <is>
          <t>TC-210</t>
        </is>
      </c>
      <c r="B12" s="2" t="inlineStr">
        <is>
          <t>Web/API — Интеграция OnlinePBX</t>
        </is>
      </c>
      <c r="C12" s="2" t="inlineStr">
        <is>
          <t>/v1/integrations/onlinepbx/webhook</t>
        </is>
      </c>
      <c r="D12" s="2" t="inlineStr">
        <is>
          <t>Валидный исходящий вебхук создаёт один звонок нужного оператора
Проверяем основной путь: OnlinePBX сообщает о завершённом отвеченном исходящем звонке, система находит оператора по полю `caller` и сохраняет событие.</t>
        </is>
      </c>
      <c r="E12" s="2" t="inlineStr">
        <is>
          <t>У РОП настроен OnlinePBX. Внутренний номер 101 назначен тестовому оператору. Есть тестовый лид с известным телефоном и получен Webhook token.</t>
        </is>
      </c>
      <c r="F12" s="2" t="inlineStr">
        <is>
          <t>1. В Postman создай POST на `{STAGE_API_URL}/v1/integrations/onlinepbx/webhook`.
2. Добавь заголовок `X-OnlinePBX-Webhook-Token` со временным токеном из карточки РОП.
3. Отправь JSON с уникальным `uuid`, `event=call_end`, правильным `domain`, `direction=outbound`, `caller=101`, телефоном лида в `callee` и `dialog_duration=30`.
4. Проверь код и сообщение ответа.
5. Открой «Звонки» у оператора 101 и найди событие.</t>
        </is>
      </c>
      <c r="G12" s="2" t="inlineStr">
        <is>
          <t>Ответ успешный и содержит «webhook saqlandi». В списке появился ровно один исходящий звонок оператора 101, связанный с правильным лидом и РОП.</t>
        </is>
      </c>
      <c r="H12" s="20" t="inlineStr">
        <is>
          <t>Critical</t>
        </is>
      </c>
      <c r="I12" s="3" t="inlineStr">
        <is>
          <t>Not Run</t>
        </is>
      </c>
      <c r="J12" s="2" t="inlineStr">
        <is>
          <t>web|api|positive</t>
        </is>
      </c>
    </row>
    <row r="13" ht="96.39999999999999" customHeight="1">
      <c r="A13" s="3" t="inlineStr">
        <is>
          <t>TC-211</t>
        </is>
      </c>
      <c r="B13" s="2" t="inlineStr">
        <is>
          <t>Web/API — Интеграция OnlinePBX</t>
        </is>
      </c>
      <c r="C13" s="2" t="inlineStr">
        <is>
          <t>OnlinePBX / WebRTC / Вебхуки</t>
        </is>
      </c>
      <c r="D13" s="2" t="inlineStr">
        <is>
          <t>Входящий вебхук находит оператора по полю callee
Во входящем звонке клиент находится в `caller`, а внутренний номер оператора — в `callee`. Проверяем, что номера не перепутаны.</t>
        </is>
      </c>
      <c r="E13" s="2" t="inlineStr">
        <is>
          <t>Внутренний номер 102 назначен другому тестовому оператору. Есть тестовый клиентский номер.</t>
        </is>
      </c>
      <c r="F13" s="2" t="inlineStr">
        <is>
          <t>1. Отправь валидный вебхук с новым UUID и `direction=inbound`.
2. Укажи телефон клиента в `caller`, `102` в `callee` и длительность разговора больше нуля.
3. Открой список звонков оператора 102.
4. Открой карточку события и проверь направление и внешний номер.</t>
        </is>
      </c>
      <c r="G13" s="2" t="inlineStr">
        <is>
          <t>Событие принадлежит оператору 102, помечено входящим и показывает телефон клиента, а не внутренний номер. Оно не появилось у оператора 101.</t>
        </is>
      </c>
      <c r="H13" s="20" t="inlineStr">
        <is>
          <t>Critical</t>
        </is>
      </c>
      <c r="I13" s="3" t="inlineStr">
        <is>
          <t>Not Run</t>
        </is>
      </c>
      <c r="J13" s="2" t="inlineStr">
        <is>
          <t>web|api|positive</t>
        </is>
      </c>
    </row>
    <row r="14" ht="96.39999999999999" customHeight="1">
      <c r="A14" s="3" t="inlineStr">
        <is>
          <t>TC-212</t>
        </is>
      </c>
      <c r="B14" s="2" t="inlineStr">
        <is>
          <t>Web/API — Интеграция OnlinePBX</t>
        </is>
      </c>
      <c r="C14" s="2" t="inlineStr">
        <is>
          <t>/v1/integrations/onlinepbx/webhook</t>
        </is>
      </c>
      <c r="D14" s="2" t="inlineStr">
        <is>
          <t>Вебхук без токена отклоняется
Webhook token — как пропуск для OnlinePBX. Без него посторонний не должен добавлять в систему поддельные звонки.</t>
        </is>
      </c>
      <c r="E14" s="2" t="inlineStr">
        <is>
          <t>Известен рабочий Domain тестового РОП. Подготовлен уникальный UUID, которого ещё нет.</t>
        </is>
      </c>
      <c r="F14" s="2" t="inlineStr">
        <is>
          <t>1. В Postman создай валидный JSON звонка с рабочим Domain и уникальным UUID.
2. Не добавляй ни заголовок токена, ни параметр `?token=`.
3. Отправь POST на `/v1/integrations/onlinepbx/webhook`.
4. Проверь ответ и список звонков.</t>
        </is>
      </c>
      <c r="G14" s="2" t="inlineStr">
        <is>
          <t>Сервер возвращает 403 и сообщает о неверном токене. Событие не сохранено, аудио не скачивается и AI не запускается.</t>
        </is>
      </c>
      <c r="H14" s="20" t="inlineStr">
        <is>
          <t>Critical</t>
        </is>
      </c>
      <c r="I14" s="3" t="inlineStr">
        <is>
          <t>Not Run</t>
        </is>
      </c>
      <c r="J14" s="2" t="inlineStr">
        <is>
          <t>api|negative</t>
        </is>
      </c>
    </row>
    <row r="15" ht="83.19999999999999" customHeight="1">
      <c r="A15" s="3" t="inlineStr">
        <is>
          <t>TC-213</t>
        </is>
      </c>
      <c r="B15" s="2" t="inlineStr">
        <is>
          <t>Web/API — Интеграция OnlinePBX</t>
        </is>
      </c>
      <c r="C15" s="2" t="inlineStr">
        <is>
          <t>OnlinePBX / WebRTC / Вебхуки</t>
        </is>
      </c>
      <c r="D15" s="2" t="inlineStr">
        <is>
          <t>Вебхук с неверным токеном отклоняется
Случайная строка или Webhook token, в котором изменён один символ, не должны считаться действительными.</t>
        </is>
      </c>
      <c r="E15" s="2" t="inlineStr">
        <is>
          <t>Есть валидный payload и Webhook token тестового РОП.</t>
        </is>
      </c>
      <c r="F15" s="2" t="inlineStr">
        <is>
          <t>1. Сделай копию Webhook token во временной переменной Postman.
2. Замени в копии последний символ.
3. Отправь валидный вебхук с изменённым токеном и уникальным UUID.
4. Проверь код ответа и список звонков.</t>
        </is>
      </c>
      <c r="G15" s="2" t="inlineStr">
        <is>
          <t>Ответ 403. В сообщении нет правильного токена или его частей; новый звонок не появляется.</t>
        </is>
      </c>
      <c r="H15" s="20" t="inlineStr">
        <is>
          <t>Critical</t>
        </is>
      </c>
      <c r="I15" s="3" t="inlineStr">
        <is>
          <t>Not Run</t>
        </is>
      </c>
      <c r="J15" s="2" t="inlineStr">
        <is>
          <t>api|negative</t>
        </is>
      </c>
    </row>
    <row r="16" ht="83.19999999999999" customHeight="1">
      <c r="A16" s="3" t="inlineStr">
        <is>
          <t>TC-214</t>
        </is>
      </c>
      <c r="B16" s="2" t="inlineStr">
        <is>
          <t>Web/API — Интеграция OnlinePBX</t>
        </is>
      </c>
      <c r="C16" s="2" t="inlineStr">
        <is>
          <t>OnlinePBX / WebRTC / Вебхуки</t>
        </is>
      </c>
      <c r="D16" s="2" t="inlineStr">
        <is>
          <t>Чужой Domain не принимается
Сервер имеет список разрешённых доменов. Даже с правильно составленным JSON нельзя добавить звонок от неизвестной телефонии.</t>
        </is>
      </c>
      <c r="E16" s="2" t="inlineStr">
        <is>
          <t>Подготовлен домен `foreign-pbx.invalid`, отсутствующий в настройках staging и у всех РОП.</t>
        </is>
      </c>
      <c r="F16" s="2" t="inlineStr">
        <is>
          <t>1. Создай валидный payload с уникальным UUID и чужим Domain.
2. Добавь любой тестовый Webhook token.
3. Отправь вебхук.
4. Проверь ответ и списки звонков всех тестовых РОП.</t>
        </is>
      </c>
      <c r="G16" s="2" t="inlineStr">
        <is>
          <t>Ответ 403 с сообщением, что Domain не разрешён. Событие не попадает ни в одну компанию.</t>
        </is>
      </c>
      <c r="H16" s="20" t="inlineStr">
        <is>
          <t>Critical</t>
        </is>
      </c>
      <c r="I16" s="3" t="inlineStr">
        <is>
          <t>Not Run</t>
        </is>
      </c>
      <c r="J16" s="2" t="inlineStr">
        <is>
          <t>api|negative</t>
        </is>
      </c>
    </row>
    <row r="17" ht="83.19999999999999" customHeight="1">
      <c r="A17" s="3" t="inlineStr">
        <is>
          <t>TC-215</t>
        </is>
      </c>
      <c r="B17" s="2" t="inlineStr">
        <is>
          <t>Web/API — Интеграция OnlinePBX</t>
        </is>
      </c>
      <c r="C17" s="2" t="inlineStr">
        <is>
          <t>OnlinePBX / WebRTC / Вебхуки</t>
        </is>
      </c>
      <c r="D17" s="2" t="inlineStr">
        <is>
          <t>Токен одного РОП не подходит к Domain другого
Проверяем изоляцию компаний: настоящий токен компании A не должен открывать вход для событий компании B.</t>
        </is>
      </c>
      <c r="E17" s="2" t="inlineStr">
        <is>
          <t>У двух тестовых РОП A и B разные Domain и Webhook token. Значения хранятся только во временных переменных Postman.</t>
        </is>
      </c>
      <c r="F17" s="2" t="inlineStr">
        <is>
          <t>1. Создай payload звонка с Domain компании B и уникальным UUID.
2. Отправь его с Webhook token компании A.
3. Проверь ответ.
4. Открой списки звонков компаний A и B.
5. Повтори payload с правильным токеном B.</t>
        </is>
      </c>
      <c r="G17" s="2" t="inlineStr">
        <is>
          <t>Первая отправка получает 403 и нигде не сохраняется. Вторая принимается только компанией B. Данные двух РОП не смешиваются.</t>
        </is>
      </c>
      <c r="H17" s="20" t="inlineStr">
        <is>
          <t>Critical</t>
        </is>
      </c>
      <c r="I17" s="3" t="inlineStr">
        <is>
          <t>Not Run</t>
        </is>
      </c>
      <c r="J17" s="2" t="inlineStr">
        <is>
          <t>web|api|negative</t>
        </is>
      </c>
    </row>
    <row r="18" ht="96.39999999999999" customHeight="1">
      <c r="A18" s="3" t="inlineStr">
        <is>
          <t>TC-216</t>
        </is>
      </c>
      <c r="B18" s="2" t="inlineStr">
        <is>
          <t>Web/API — Интеграция OnlinePBX</t>
        </is>
      </c>
      <c r="C18" s="2" t="inlineStr">
        <is>
          <t>OnlinePBX / WebRTC / Вебхуки</t>
        </is>
      </c>
      <c r="D18" s="2" t="inlineStr">
        <is>
          <t>Пустой или неполный payload вебхука возвращает понятную ошибку
Если OnlinePBX прислал повреждённое сообщение, сервер не должен создавать строку без события, домена или номера получателя.</t>
        </is>
      </c>
      <c r="E18" s="2" t="inlineStr">
        <is>
          <t>Есть Webhook token тестового РОП.</t>
        </is>
      </c>
      <c r="F18" s="2" t="inlineStr">
        <is>
          <t>1. Отправь с правильным токеном пустой JSON `{}`.
2. Отправь JSON без поля `event`.
3. Отправь JSON без поля `domain`.
4. Отправь JSON без поля `callee`.
5. После каждого запроса запиши код и проверь список звонков.</t>
        </is>
      </c>
      <c r="G18" s="2" t="inlineStr">
        <is>
          <t>Каждый запрос получает 400 («payload неверный»). Ни одна неполная запись не создана, сервер продолжает принимать следующий валидный запрос.</t>
        </is>
      </c>
      <c r="H18" s="21" t="inlineStr">
        <is>
          <t>High</t>
        </is>
      </c>
      <c r="I18" s="3" t="inlineStr">
        <is>
          <t>Not Run</t>
        </is>
      </c>
      <c r="J18" s="2" t="inlineStr">
        <is>
          <t>api|negative</t>
        </is>
      </c>
    </row>
    <row r="19" ht="96.39999999999999" customHeight="1">
      <c r="A19" s="3" t="inlineStr">
        <is>
          <t>TC-217</t>
        </is>
      </c>
      <c r="B19" s="2" t="inlineStr">
        <is>
          <t>Web/API — Интеграция OnlinePBX</t>
        </is>
      </c>
      <c r="C19" s="2" t="inlineStr">
        <is>
          <t>OnlinePBX / WebRTC / Вебхуки</t>
        </is>
      </c>
      <c r="D19" s="2" t="inlineStr">
        <is>
          <t>Повтор одного вебхука не создаёт второй звонок
OnlinePBX может повторно доставить одно сообщение. Уникальный UUID должен обеспечить один звонок, одно аудио и один запуск анализа.</t>
        </is>
      </c>
      <c r="E19" s="2" t="inlineStr">
        <is>
          <t>Подготовлен валидный отвеченный звонок известного оператора с уникальным UUID.</t>
        </is>
      </c>
      <c r="F19" s="2" t="inlineStr">
        <is>
          <t>1. Отправь валидный вебхук первый раз.
2. Не меняя JSON, отправь его второй раз.
3. Обнови список звонков.
4. Посчитай события с этим UUID и проверь транскрипцию/журнал AI.</t>
        </is>
      </c>
      <c r="G19" s="2" t="inlineStr">
        <is>
          <t>В базе и интерфейсе один звонок. Повтор может обновить ту же запись более свежими данными, но не создаёт вторую; аудио не дублируется и AI не запускается дважды.</t>
        </is>
      </c>
      <c r="H19" s="20" t="inlineStr">
        <is>
          <t>Critical</t>
        </is>
      </c>
      <c r="I19" s="3" t="inlineStr">
        <is>
          <t>Not Run</t>
        </is>
      </c>
      <c r="J19" s="2" t="inlineStr">
        <is>
          <t>web|api|negative</t>
        </is>
      </c>
    </row>
    <row r="20" ht="96.39999999999999" customHeight="1">
      <c r="A20" s="3" t="inlineStr">
        <is>
          <t>TC-218</t>
        </is>
      </c>
      <c r="B20" s="2" t="inlineStr">
        <is>
          <t>Web/API — Интеграция OnlinePBX</t>
        </is>
      </c>
      <c r="C20" s="2" t="inlineStr">
        <is>
          <t>OnlinePBX / WebRTC / Вебхуки</t>
        </is>
      </c>
      <c r="D20" s="2" t="inlineStr">
        <is>
          <t>Вебхук без download_url получает запись через API OnlinePBX
Реальный вебхук не всегда содержит ссылку на запись. Для отвеченного звонка система должна запросить её по UUID у OnlinePBX.</t>
        </is>
      </c>
      <c r="E20" s="2" t="inlineStr">
        <is>
          <t>Есть завершённый отвеченный звонок известного оператора в тестовом OnlinePBX. Его UUID существует в истории и запись доступна, но payload отправляется без `download_url`.</t>
        </is>
      </c>
      <c r="F20" s="2" t="inlineStr">
        <is>
          <t>1. Отправь валидный вебхук этого звонка без поля `download_url`.
2. Дождись появления события.
3. Открой звонок и нажми воспроизведение записи.
4. Проверь, появилась ли транскрипция после обработки.</t>
        </is>
      </c>
      <c r="G20" s="2" t="inlineStr">
        <is>
          <t>Система сама получает ссылку по UUID, сохраняет стабильную копию аудио, запись воспроизводится и доступна для AI. Отсутствие `download_url` не оставляет отвеченный звонок без записи.</t>
        </is>
      </c>
      <c r="H20" s="20" t="inlineStr">
        <is>
          <t>Critical</t>
        </is>
      </c>
      <c r="I20" s="3" t="inlineStr">
        <is>
          <t>Not Run</t>
        </is>
      </c>
      <c r="J20" s="2" t="inlineStr">
        <is>
          <t>web|api|positive</t>
        </is>
      </c>
    </row>
    <row r="21" ht="109.6" customHeight="1">
      <c r="A21" s="3" t="inlineStr">
        <is>
          <t>TC-219</t>
        </is>
      </c>
      <c r="B21" s="2" t="inlineStr">
        <is>
          <t>Web/API — Интеграция OnlinePBX</t>
        </is>
      </c>
      <c r="C21" s="2" t="inlineStr">
        <is>
          <t>OnlinePBX / WebRTC / Вебхуки</t>
        </is>
      </c>
      <c r="D21" s="2" t="inlineStr">
        <is>
          <t>Временно недоступная запись подхватывается следующим опросом истории
Сразу после звонка запись может ещё не быть готова. Ошибка первого запроса не должна навсегда лишить звонок аудио.</t>
        </is>
      </c>
      <c r="E21" s="2" t="inlineStr">
        <is>
          <t>На staging тестовый стаб OnlinePBX первый запрос записи по UUID отклоняет, а следующий возвращает рабочую ссылку. Звонок внутри последних 10 минут.</t>
        </is>
      </c>
      <c r="F21" s="2" t="inlineStr">
        <is>
          <t>1. Отправь вебхук отвеченного звонка без `download_url`.
2. Убедись, что первый запрос записи временно завершился ошибкой.
3. Подожди следующий фоновый опрос истории (обычно до 30 секунд).
4. Обнови звонок и попробуй воспроизвести аудио.
5. Проверь число событий и запуск транскрипции.</t>
        </is>
      </c>
      <c r="G21" s="2" t="inlineStr">
        <is>
          <t>Следующий опрос получает запись и обновляет тот же звонок. Событие одно, аудио воспроизводится, транскрипция запускается один раз.</t>
        </is>
      </c>
      <c r="H21" s="20" t="inlineStr">
        <is>
          <t>Critical</t>
        </is>
      </c>
      <c r="I21" s="3" t="inlineStr">
        <is>
          <t>Not Run</t>
        </is>
      </c>
      <c r="J21" s="2" t="inlineStr">
        <is>
          <t>web|api|negative</t>
        </is>
      </c>
    </row>
    <row r="22" ht="96.39999999999999" customHeight="1">
      <c r="A22" s="3" t="inlineStr">
        <is>
          <t>TC-220</t>
        </is>
      </c>
      <c r="B22" s="2" t="inlineStr">
        <is>
          <t>Web/API — Интеграция OnlinePBX</t>
        </is>
      </c>
      <c r="C22" s="2" t="inlineStr">
        <is>
          <t>OnlinePBX / WebRTC / Вебхуки</t>
        </is>
      </c>
      <c r="D22" s="2" t="inlineStr">
        <is>
          <t>Пропущенный вебхук восстанавливается из истории за 10 минут
Фоновый опрос — страховка на случай недоступного публичного вебхука. Он каждые 30 секунд смотрит завершённые звонки за последние 10 минут.</t>
        </is>
      </c>
      <c r="E22" s="2" t="inlineStr">
        <is>
          <t>У тестового РОП рабочий API key. Доставка вебхука безопасно отключена только для одного тестового отвеченного звонка известного оператора.</t>
        </is>
      </c>
      <c r="F22" s="2" t="inlineStr">
        <is>
          <t>1. Соверши отвеченный звонок через тестовый OnlinePBX.
2. Убедись, что вебхук не доставлен.
3. Подожди до двух фоновых проходов.
4. Обнови список звонков оператора.
5. Открой событие и проверь аудио.
6. Верни доставку вебхуков в рабочее состояние.</t>
        </is>
      </c>
      <c r="G22" s="2" t="inlineStr">
        <is>
          <t>Не позднее следующего успешного прохода звонок появляется из истории с правильным оператором и аудио. Ручная повторная доставка вебхука не создаёт дубль.</t>
        </is>
      </c>
      <c r="H22" s="20" t="inlineStr">
        <is>
          <t>Critical</t>
        </is>
      </c>
      <c r="I22" s="3" t="inlineStr">
        <is>
          <t>Not Run</t>
        </is>
      </c>
      <c r="J22" s="2" t="inlineStr">
        <is>
          <t>web|negative</t>
        </is>
      </c>
    </row>
    <row r="23" ht="96.39999999999999" customHeight="1">
      <c r="A23" s="3" t="inlineStr">
        <is>
          <t>TC-221</t>
        </is>
      </c>
      <c r="B23" s="2" t="inlineStr">
        <is>
          <t>Web/API — Интеграция OnlinePBX</t>
        </is>
      </c>
      <c r="C23" s="2" t="inlineStr">
        <is>
          <t>OnlinePBX / WebRTC / Вебхуки</t>
        </is>
      </c>
      <c r="D23" s="2" t="inlineStr">
        <is>
          <t>Граница окна истории: звонок старше 10 минут не подхватывается сам
Фоновая страховка ограничена десятью минутами. Проверяем границу, чтобы не ожидать восстановления старых звонков и зафиксировать операционное ограничение.</t>
        </is>
      </c>
      <c r="E23" s="2" t="inlineStr">
        <is>
          <t>В тестовой истории есть звонок известного оператора старше 10 минут, которого нет в Operator AI. Вебхук для него не доставлялся.</t>
        </is>
      </c>
      <c r="F23" s="2" t="inlineStr">
        <is>
          <t>1. Запиши точное время звонка: оно старше текущего времени более чем на 10 минут.
2. Дождись двух фоновых проходов.
3. Поищи UUID в списке звонков и через API.
4. Отдельно создай свежий звонок и убедись, что опрос истории вообще работает.</t>
        </is>
      </c>
      <c r="G23" s="2" t="inlineStr">
        <is>
          <t>Старый звонок автоматически не импортируется, свежий импортируется. Ограничение окна подтверждено; для восстановления старого события нужен отдельный ручной процесс.</t>
        </is>
      </c>
      <c r="H23" s="22" t="inlineStr">
        <is>
          <t>Medium</t>
        </is>
      </c>
      <c r="I23" s="3" t="inlineStr">
        <is>
          <t>Not Run</t>
        </is>
      </c>
      <c r="J23" s="2" t="inlineStr">
        <is>
          <t>web|api|boundary</t>
        </is>
      </c>
    </row>
    <row r="24" ht="83.19999999999999" customHeight="1">
      <c r="A24" s="3" t="inlineStr">
        <is>
          <t>TC-222</t>
        </is>
      </c>
      <c r="B24" s="2" t="inlineStr">
        <is>
          <t>Web/API — Интеграция OnlinePBX</t>
        </is>
      </c>
      <c r="C24" s="2" t="inlineStr">
        <is>
          <t>OnlinePBX / WebRTC / Вебхуки</t>
        </is>
      </c>
      <c r="D24" s="2" t="inlineStr">
        <is>
          <t>Ошибка OnlinePBX одного РОП не останавливает остальных
Фоновый процесс обходит до 200 подключений. Неверный ключ компании A не должен лишить компанию B её звонков.</t>
        </is>
      </c>
      <c r="E24" s="2" t="inlineStr">
        <is>
          <t>Есть два тестовых РОП: у A временно неверный API key, у B рабочий. У B совершён отвеченный звонок без доставки вебхука.</t>
        </is>
      </c>
      <c r="F24" s="2" t="inlineStr">
        <is>
          <t>1. Запусти или дождись фонового опроса истории.
2. Проверь сообщение об ошибке компании A в журнале без вывода её ключа.
3. Открой список звонков компании B.
4. Исправь ключ A и дождись следующего прохода.</t>
        </is>
      </c>
      <c r="G24" s="2" t="inlineStr">
        <is>
          <t>Ошибка A записана и обработка продолжается. Звонок B импортирован в том же проходе. После исправления A следующий проход работает; данные компаний не смешаны.</t>
        </is>
      </c>
      <c r="H24" s="20" t="inlineStr">
        <is>
          <t>Critical</t>
        </is>
      </c>
      <c r="I24" s="3" t="inlineStr">
        <is>
          <t>Not Run</t>
        </is>
      </c>
      <c r="J24" s="2" t="inlineStr">
        <is>
          <t>web|api|negative</t>
        </is>
      </c>
    </row>
    <row r="25" ht="83.19999999999999" customHeight="1">
      <c r="A25" s="3" t="inlineStr">
        <is>
          <t>TC-223</t>
        </is>
      </c>
      <c r="B25" s="2" t="inlineStr">
        <is>
          <t>Web/API — Интеграция OnlinePBX</t>
        </is>
      </c>
      <c r="C25" s="2" t="inlineStr">
        <is>
          <t>OnlinePBX / WebRTC / Вебхуки</t>
        </is>
      </c>
      <c r="D25" s="2" t="inlineStr">
        <is>
          <t>Конфигурация без ключа или Domain безопасно пропускается фоновым опросом
Старая или повреждённая запись не должна обрушать общий процесс и порождать запросы с пустыми секретами.</t>
        </is>
      </c>
      <c r="E25" s="2" t="inlineStr">
        <is>
          <t>На staging через согласованный тестовый способ подготовлена старая конфигурация без Call token либо Domain. Есть вторая рабочая компания.</t>
        </is>
      </c>
      <c r="F25" s="2" t="inlineStr">
        <is>
          <t>1. Дождись фонового опроса истории.
2. Проверь журнал запросов к OnlinePBX.
3. Проверь звонки рабочей компании.
4. Удалите повреждённую тестовую конфигурацию после проверки.</t>
        </is>
      </c>
      <c r="G25" s="2" t="inlineStr">
        <is>
          <t>Повреждённая конфигурация пропущена без запроса с пустым ключом. Общий процесс не падает, рабочая компания синхронизируется.</t>
        </is>
      </c>
      <c r="H25" s="21" t="inlineStr">
        <is>
          <t>High</t>
        </is>
      </c>
      <c r="I25" s="3" t="inlineStr">
        <is>
          <t>Not Run</t>
        </is>
      </c>
      <c r="J25" s="2" t="inlineStr">
        <is>
          <t>api|negative</t>
        </is>
      </c>
    </row>
    <row r="26" ht="109.6" customHeight="1">
      <c r="A26" s="3" t="inlineStr">
        <is>
          <t>TC-224</t>
        </is>
      </c>
      <c r="B26" s="2" t="inlineStr">
        <is>
          <t>Web/API — Интеграция OnlinePBX</t>
        </is>
      </c>
      <c r="C26" s="2" t="inlineStr">
        <is>
          <t>OnlinePBX / WebRTC / Вебхуки</t>
        </is>
      </c>
      <c r="D26" s="2" t="inlineStr">
        <is>
          <t>Аудио отвеченного звонка сохраняется и воспроизводится после истечения ссылки
Ссылка OnlinePBX может быть временной, поэтому сервер складывает запись в своё хранилище. Позднее воспроизведение не должно зависеть от старой ссылки провайдера.</t>
        </is>
      </c>
      <c r="E26" s="2" t="inlineStr">
        <is>
          <t>Есть отвеченный звонок известного оператора с записью. Доступ к исходной временной ссылке можно безопасно отключить после первого импорта.</t>
        </is>
      </c>
      <c r="F26" s="2" t="inlineStr">
        <is>
          <t>1. Дождись импорта звонка и один раз воспроизведи запись.
2. Убедись, что запись сохранена в тестовом объектном хранилище.
3. Сделай исходную ссылку OnlinePBX недоступной или дождись её истечения.
4. Обнови страницу и снова воспроизведи запись целиком.</t>
        </is>
      </c>
      <c r="G26" s="2" t="inlineStr">
        <is>
          <t>Второе воспроизведение работает из стабильной копии Operator AI. Аудио относится к тому же звонку, не обрезано и не заменено записью другого РОП.</t>
        </is>
      </c>
      <c r="H26" s="20" t="inlineStr">
        <is>
          <t>Critical</t>
        </is>
      </c>
      <c r="I26" s="3" t="inlineStr">
        <is>
          <t>Not Run</t>
        </is>
      </c>
      <c r="J26" s="2" t="inlineStr">
        <is>
          <t>web|api|boundary</t>
        </is>
      </c>
    </row>
    <row r="27" ht="96.39999999999999" customHeight="1">
      <c r="A27" s="3" t="inlineStr">
        <is>
          <t>TC-225</t>
        </is>
      </c>
      <c r="B27" s="2" t="inlineStr">
        <is>
          <t>Web/API — Интеграция OnlinePBX</t>
        </is>
      </c>
      <c r="C27" s="2" t="inlineStr">
        <is>
          <t>OnlinePBX / WebRTC / Вебхуки</t>
        </is>
      </c>
      <c r="D27" s="2" t="inlineStr">
        <is>
          <t>Неотвеченный звонок не скачивает аудио и не запускает AI
При нулевом времени разговора записи для анализа нет. Вебхук может сохранить факт вызова, но не должен расходовать хранилище и Gemini.</t>
        </is>
      </c>
      <c r="E27" s="2" t="inlineStr">
        <is>
          <t>Внутренний номер принадлежит тестовому оператору. Подготовлен payload с `dialog_duration=0` и уникальным UUID.</t>
        </is>
      </c>
      <c r="F27" s="2" t="inlineStr">
        <is>
          <t>1. Отправь валидный вебхук неотвеченного звонка.
2. Открой список и карточку события, если оно показывается.
3. Проверь наличие аудио и транскрипции.
4. Проверь журнал обращений к хранилищу и Gemini по UUID.</t>
        </is>
      </c>
      <c r="G27" s="2" t="inlineStr">
        <is>
          <t>Факт неотвеченного вызова может быть сохранён один раз, но аудио не скачивается, кнопка воспроизведения не выдаёт чужую запись, Gemini не вызывается.</t>
        </is>
      </c>
      <c r="H27" s="21" t="inlineStr">
        <is>
          <t>High</t>
        </is>
      </c>
      <c r="I27" s="3" t="inlineStr">
        <is>
          <t>Not Run</t>
        </is>
      </c>
      <c r="J27" s="2" t="inlineStr">
        <is>
          <t>web|api|negative</t>
        </is>
      </c>
    </row>
    <row r="28" ht="109.6" customHeight="1">
      <c r="A28" s="3" t="inlineStr">
        <is>
          <t>TC-226</t>
        </is>
      </c>
      <c r="B28" s="2" t="inlineStr">
        <is>
          <t>Web/API — Интеграция OnlinePBX</t>
        </is>
      </c>
      <c r="C28" s="2" t="inlineStr">
        <is>
          <t>OnlinePBX / WebRTC / Вебхуки</t>
        </is>
      </c>
      <c r="D28" s="2" t="inlineStr">
        <is>
          <t>Чужой внутренний номер не превращается в звонок оператора
Общая телефония содержит номера не только операторов Operator AI. Звонок неизвестного внутреннего номера нельзя приписать случайному сотруднику или отправить в AI.</t>
        </is>
      </c>
      <c r="E28" s="2" t="inlineStr">
        <is>
          <t>Подготовлен внутренний номер, который существует в OnlinePBX, но не назначен ни одному оператору тестового РОП.</t>
        </is>
      </c>
      <c r="F28" s="2" t="inlineStr">
        <is>
          <t>1. Соверши или отправь отвеченный звонок с этим внутренним номером.
2. Дождись вебхука и фонового опроса истории.
3. Проверь списки всех операторов РОП.
4. Проверь общий список звонков РОП и журнал AI по UUID.</t>
        </is>
      </c>
      <c r="G28" s="2" t="inlineStr">
        <is>
          <t>Звонок не приписан ни одному оператору, не попадает в их рабочие списки и не запускает AI. Повторный опрос истории не создаёт вторую запись.</t>
        </is>
      </c>
      <c r="H28" s="20" t="inlineStr">
        <is>
          <t>Critical</t>
        </is>
      </c>
      <c r="I28" s="3" t="inlineStr">
        <is>
          <t>Not Run</t>
        </is>
      </c>
      <c r="J28" s="2" t="inlineStr">
        <is>
          <t>web|api|negative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TC-227</t>
        </is>
      </c>
      <c r="B2" s="2" t="inlineStr">
        <is>
          <t>Web/API — Тарифы и лимиты</t>
        </is>
      </c>
      <c r="C2" s="2" t="inlineStr">
        <is>
          <t>/v1/plans · /dashboard/plans</t>
        </is>
      </c>
      <c r="D2" s="2" t="inlineStr">
        <is>
          <t>Супер-админ видит три фиксированных тарифа
В системе предусмотрены ровно три плана. Проверяем редактор витрины и реальные названия элементов на странице.</t>
        </is>
      </c>
      <c r="E2" s="2" t="inlineStr">
        <is>
          <t>Выполнен вход под супер-админом. Тестовые тарифы не удалены из базы.</t>
        </is>
      </c>
      <c r="F2" s="2" t="inlineStr">
        <is>
          <t>1. В меню слева нажми «Тарифы».
2. Дождись загрузки страницы с заголовком «Тарифы».
3. Посчитай карточки.
4. Проверь у каждой карточки название, цену или «Договорная», список возможностей, метку «Активен»/«Скрыт» и кнопку «Редактировать».
5. В Postman запроси GET `{STAGE_API_URL}/v1/plans` и сравни коды трёх карточек.</t>
        </is>
      </c>
      <c r="G2" s="2" t="inlineStr">
        <is>
          <t>Открыт адрес `/dashboard/plans`. Показаны ровно три карточки; API подтверждает коды `taxlil_dashboard`, `taxlil_dashboard_auto_call`, `full_ai`. Пустой или четвёртой карточки нет, каждая доступна для редактирования.</t>
        </is>
      </c>
      <c r="H2" s="21" t="inlineStr">
        <is>
          <t>High</t>
        </is>
      </c>
      <c r="I2" s="3" t="inlineStr">
        <is>
          <t>Not Run</t>
        </is>
      </c>
      <c r="J2" s="2" t="inlineStr">
        <is>
          <t>web|api|positive</t>
        </is>
      </c>
    </row>
    <row r="3" ht="109.6" customHeight="1">
      <c r="A3" s="3" t="inlineStr">
        <is>
          <t>TC-228</t>
        </is>
      </c>
      <c r="B3" s="2" t="inlineStr">
        <is>
          <t>Web/API — Тарифы и лимиты</t>
        </is>
      </c>
      <c r="C3" s="2" t="inlineStr">
        <is>
          <t>/v1/plans</t>
        </is>
      </c>
      <c r="D3" s="2" t="inlineStr">
        <is>
          <t>Публичный API отдаёт три тарифа без авторизации
Лендинг загружает витрину до входа пользователя, поэтому список планов является публичным, но не должен содержать внутренние или секретные данные.</t>
        </is>
      </c>
      <c r="E3" s="2" t="inlineStr">
        <is>
          <t>Известен {STAGE_API_URL}. Токен авторизации не используется.</t>
        </is>
      </c>
      <c r="F3" s="2" t="inlineStr">
        <is>
          <t>1. Открой терминал.
2. Выполни `curl -i {STAGE_API_URL}/v1/plans`.
3. Проверь код ответа и массив `items`.
4. Для каждого элемента проверь поля `code`, `name`, `price`, `description`, `features`, `is_active`, `sort`.
5. Проверь, что других полей с пользователями, ключами или оплатами нет.</t>
        </is>
      </c>
      <c r="G3" s="2" t="inlineStr">
        <is>
          <t>Ответ 200 без токена. В `items` три уникальных допустимых кода, цена неотрицательная, возможности — список. Секретов и данных клиентов нет; порядок соответствует `sort`.</t>
        </is>
      </c>
      <c r="H3" s="21" t="inlineStr">
        <is>
          <t>High</t>
        </is>
      </c>
      <c r="I3" s="3" t="inlineStr">
        <is>
          <t>Not Run</t>
        </is>
      </c>
      <c r="J3" s="2" t="inlineStr">
        <is>
          <t>api|positive</t>
        </is>
      </c>
    </row>
    <row r="4" ht="149.2" customHeight="1">
      <c r="A4" s="3" t="inlineStr">
        <is>
          <t>TC-229</t>
        </is>
      </c>
      <c r="B4" s="2" t="inlineStr">
        <is>
          <t>Web/API — Тарифы и лимиты</t>
        </is>
      </c>
      <c r="C4" s="2" t="inlineStr">
        <is>
          <t>Тарифы / Лимиты</t>
        </is>
      </c>
      <c r="D4" s="2" t="inlineStr">
        <is>
          <t>Редактирование тарифа обновляет админку и лендинг
Супер-админ управляет именно витриной: названием, ценой, описанием, возможностями и видимостью. Проверяем полный путь до публичной страницы.</t>
        </is>
      </c>
      <c r="E4" s="2" t="inlineStr">
        <is>
          <t>Сохранены исходные значения тестового тарифа, чтобы вернуть их после проверки. Открыты админка и лендинг staging.</t>
        </is>
      </c>
      <c r="F4" s="2" t="inlineStr">
        <is>
          <t>1. В разделе «Тарифы» выбери карточку и нажми «Редактировать».
2. Измени «Название тарифа», «Цена (сум/мес) — 0 = „Договорная“» и «Краткое описание».
3. В поле «Возможности (каждую с новой строки)» введи три разные строки.
4. Оставь «Показывать на лендинге» включённым и нажми «Сохранить».
5. Дождись сообщения «Тариф сохранён».
6. Обнови админку и лендинг и найди этот тариф.
7. После проверки верни исходные значения.</t>
        </is>
      </c>
      <c r="G4" s="2" t="inlineStr">
        <is>
          <t>Все пять изменений сохраняются и после обновления совпадают в админке, публичном API и на лендинге. Код тарифа не изменился, другие тарифы не затронуты.</t>
        </is>
      </c>
      <c r="H4" s="20" t="inlineStr">
        <is>
          <t>Critical</t>
        </is>
      </c>
      <c r="I4" s="3" t="inlineStr">
        <is>
          <t>Not Run</t>
        </is>
      </c>
      <c r="J4" s="2" t="inlineStr">
        <is>
          <t>web|api|positive</t>
        </is>
      </c>
    </row>
    <row r="5" ht="83.19999999999999" customHeight="1">
      <c r="A5" s="3" t="inlineStr">
        <is>
          <t>TC-230</t>
        </is>
      </c>
      <c r="B5" s="2" t="inlineStr">
        <is>
          <t>Web/API — Тарифы и лимиты</t>
        </is>
      </c>
      <c r="C5" s="2" t="inlineStr">
        <is>
          <t>/мес</t>
        </is>
      </c>
      <c r="D5" s="2" t="inlineStr">
        <is>
          <t>Цена 0 показывается как договорная
Ноль имеет специальный смысл — цена определяется после разговора. Пользователь не должен видеть `0 сум/мес` как готовую стоимость.</t>
        </is>
      </c>
      <c r="E5" s="2" t="inlineStr">
        <is>
          <t>Сохранена исходная цена одного тестового тарифа.</t>
        </is>
      </c>
      <c r="F5" s="2" t="inlineStr">
        <is>
          <t>1. Открой редактирование тарифа.
2. Очисти поле цены либо введи `0`.
3. Нажми «Сохранить».
4. Проверь карточку в русской админке.
5. Проверь тот же тариф на узбекском лендинге.
6. Верни исходную цену.</t>
        </is>
      </c>
      <c r="G5" s="2" t="inlineStr">
        <is>
          <t>Сохранение успешно. В админке написано «Договорная», на лендинге — `Kelishiladi`; приписки `/мес` или `/oy` рядом с нулём нет.</t>
        </is>
      </c>
      <c r="H5" s="21" t="inlineStr">
        <is>
          <t>High</t>
        </is>
      </c>
      <c r="I5" s="3" t="inlineStr">
        <is>
          <t>Not Run</t>
        </is>
      </c>
      <c r="J5" s="2" t="inlineStr">
        <is>
          <t>web|boundary</t>
        </is>
      </c>
    </row>
    <row r="6" ht="83.19999999999999" customHeight="1">
      <c r="A6" s="3" t="inlineStr">
        <is>
          <t>TC-231</t>
        </is>
      </c>
      <c r="B6" s="2" t="inlineStr">
        <is>
          <t>Web/API — Тарифы и лимиты</t>
        </is>
      </c>
      <c r="C6" s="2" t="inlineStr">
        <is>
          <t>/мес</t>
        </is>
      </c>
      <c r="D6" s="2" t="inlineStr">
        <is>
          <t>Положительная цена форматируется с валютой и периодом
Большое число должно оставаться читаемым и одинаковым по смыслу в двух интерфейсах.</t>
        </is>
      </c>
      <c r="E6" s="2" t="inlineStr">
        <is>
          <t>Сохранена исходная цена тестового тарифа.</t>
        </is>
      </c>
      <c r="F6" s="2" t="inlineStr">
        <is>
          <t>1. Установи цену `1234567` и сохрани.
2. Проверь карточку в русской админке.
3. Проверь карточку на лендинге.
4. Обнови обе страницы и проверь ещё раз.
5. Верни исходную цену.</t>
        </is>
      </c>
      <c r="G6" s="2" t="inlineStr">
        <is>
          <t>Цена показана с разделителями разрядов, валютой `сум`/`so'm` и периодом `/мес`/`/oy`. Значение не округлено и после обновления не меняется.</t>
        </is>
      </c>
      <c r="H6" s="22" t="inlineStr">
        <is>
          <t>Medium</t>
        </is>
      </c>
      <c r="I6" s="3" t="inlineStr">
        <is>
          <t>Not Run</t>
        </is>
      </c>
      <c r="J6" s="2" t="inlineStr">
        <is>
          <t>web|boundary</t>
        </is>
      </c>
    </row>
    <row r="7" ht="70" customHeight="1">
      <c r="A7" s="3" t="inlineStr">
        <is>
          <t>TC-232</t>
        </is>
      </c>
      <c r="B7" s="2" t="inlineStr">
        <is>
          <t>Web/API — Тарифы и лимиты</t>
        </is>
      </c>
      <c r="C7" s="2" t="inlineStr">
        <is>
          <t>Тарифы / Лимиты</t>
        </is>
      </c>
      <c r="D7" s="2" t="inlineStr">
        <is>
          <t>Пустое название тарифа не сохраняется
Карточка без названия непонятна посетителю и не допускается сервером.</t>
        </is>
      </c>
      <c r="E7" s="2" t="inlineStr">
        <is>
          <t>Открыто окно редактирования любого тарифа.</t>
        </is>
      </c>
      <c r="F7" s="2" t="inlineStr">
        <is>
          <t>1. Удали весь текст из поля «Название тарифа».
2. Щёлкни вне поля.
3. Попробуй нажать «Сохранить».
4. Повтори, введя только пробелы.
5. Закрой окно и обнови страницу.</t>
        </is>
      </c>
      <c r="G7" s="2" t="inlineStr">
        <is>
          <t>Показано «Nom majburiy» (название обязательно), кнопка сохранения неактивна. Старое название остаётся в карточке и публичном API.</t>
        </is>
      </c>
      <c r="H7" s="21" t="inlineStr">
        <is>
          <t>High</t>
        </is>
      </c>
      <c r="I7" s="3" t="inlineStr">
        <is>
          <t>Not Run</t>
        </is>
      </c>
      <c r="J7" s="2" t="inlineStr">
        <is>
          <t>web|negative</t>
        </is>
      </c>
    </row>
    <row r="8" ht="83.19999999999999" customHeight="1">
      <c r="A8" s="3" t="inlineStr">
        <is>
          <t>TC-233</t>
        </is>
      </c>
      <c r="B8" s="2" t="inlineStr">
        <is>
          <t>Web/API — Тарифы и лимиты</t>
        </is>
      </c>
      <c r="C8" s="2" t="inlineStr">
        <is>
          <t>/v1/plans/full_ai</t>
        </is>
      </c>
      <c r="D8" s="2" t="inlineStr">
        <is>
          <t>Отрицательная цена отклоняется в интерфейсе и API
Компания не может случайно опубликовать отрицательную стоимость. Проверяем обе ступени защиты — форму и сервер.</t>
        </is>
      </c>
      <c r="E8" s="2" t="inlineStr">
        <is>
          <t>Есть токен супер-админа и сохранены текущие значения тарифа.</t>
        </is>
      </c>
      <c r="F8" s="2" t="inlineStr">
        <is>
          <t>1. В форме редактирования введи цену `-1`.
2. Проверь подсказку и кнопку «Сохранить».
3. В Postman отправь PATCH `/v1/plans/full_ai` с корректными остальными полями и `price: -1`.
4. Проверь ответ.
5. Обнови карточку и публичный API.</t>
        </is>
      </c>
      <c r="G8" s="2" t="inlineStr">
        <is>
          <t>Форма показывает `Narx manfiy bo'lmasin`, API возвращает 400/422. Отрицательная цена нигде не сохранена, прежние данные не изменились.</t>
        </is>
      </c>
      <c r="H8" s="21" t="inlineStr">
        <is>
          <t>High</t>
        </is>
      </c>
      <c r="I8" s="3" t="inlineStr">
        <is>
          <t>Not Run</t>
        </is>
      </c>
      <c r="J8" s="2" t="inlineStr">
        <is>
          <t>web|api|negative</t>
        </is>
      </c>
    </row>
    <row r="9" ht="96.39999999999999" customHeight="1">
      <c r="A9" s="3" t="inlineStr">
        <is>
          <t>TC-234</t>
        </is>
      </c>
      <c r="B9" s="2" t="inlineStr">
        <is>
          <t>Web/API — Тарифы и лимиты</t>
        </is>
      </c>
      <c r="C9" s="2" t="inlineStr">
        <is>
          <t>Тарифы / Лимиты</t>
        </is>
      </c>
      <c r="D9" s="2" t="inlineStr">
        <is>
          <t>Пустые строки в списке возможностей очищаются
Каждая возможность вводится с новой строки. Лишние пробелы и пустые строки не должны превращаться в пустые пункты на лендинге.</t>
        </is>
      </c>
      <c r="E9" s="2" t="inlineStr">
        <is>
          <t>Сохранён исходный список возможностей тестового тарифа.</t>
        </is>
      </c>
      <c r="F9" s="2" t="inlineStr">
        <is>
          <t>1. Открой редактирование.
2. В поле возможностей введи: пробелы, пустую строку, `  Первая  `, ещё пустую строку и `Вторая`.
3. Сохрани и обнови админку.
4. Обнови лендинг.
5. Посчитай видимые пункты и сравни их текст.
6. Верни исходный список.</t>
        </is>
      </c>
      <c r="G9" s="2" t="inlineStr">
        <is>
          <t>Сохранены ровно два пункта: «Первая» и «Вторая», без внешних пробелов. Пустых маркеров или лишних вертикальных промежутков нет.</t>
        </is>
      </c>
      <c r="H9" s="22" t="inlineStr">
        <is>
          <t>Medium</t>
        </is>
      </c>
      <c r="I9" s="3" t="inlineStr">
        <is>
          <t>Not Run</t>
        </is>
      </c>
      <c r="J9" s="2" t="inlineStr">
        <is>
          <t>web|boundary</t>
        </is>
      </c>
    </row>
    <row r="10" ht="96.39999999999999" customHeight="1">
      <c r="A10" s="3" t="inlineStr">
        <is>
          <t>TC-235</t>
        </is>
      </c>
      <c r="B10" s="2" t="inlineStr">
        <is>
          <t>Web/API — Тарифы и лимиты</t>
        </is>
      </c>
      <c r="C10" s="2" t="inlineStr">
        <is>
          <t>Тарифы / Лимиты</t>
        </is>
      </c>
      <c r="D10" s="2" t="inlineStr">
        <is>
          <t>Тариф без возможностей показывается аккуратно
Список возможностей может быть пустым. Админке нужна понятная заглушка, а лендинг не должен ломать карточку.</t>
        </is>
      </c>
      <c r="E10" s="2" t="inlineStr">
        <is>
          <t>Сохранён исходный список возможностей тестового тарифа.</t>
        </is>
      </c>
      <c r="F10" s="2" t="inlineStr">
        <is>
          <t>1. Очисти поле «Возможности (каждую с новой строки)».
2. Сохрани тариф.
3. Проверь карточку в админке.
4. Проверь карточку на лендинге на широком и узком экране.
5. Верни исходный список.</t>
        </is>
      </c>
      <c r="G10" s="2" t="inlineStr">
        <is>
          <t>Админка показывает «Возможности не указаны». На лендинге карточка остаётся целой, без слова `undefined`, пустых галочек и наложения кнопки.</t>
        </is>
      </c>
      <c r="H10" s="23" t="inlineStr">
        <is>
          <t>Low</t>
        </is>
      </c>
      <c r="I10" s="3" t="inlineStr">
        <is>
          <t>Not Run</t>
        </is>
      </c>
      <c r="J10" s="2" t="inlineStr">
        <is>
          <t>web|boundary</t>
        </is>
      </c>
    </row>
    <row r="11" ht="96.39999999999999" customHeight="1">
      <c r="A11" s="3" t="inlineStr">
        <is>
          <t>TC-236</t>
        </is>
      </c>
      <c r="B11" s="2" t="inlineStr">
        <is>
          <t>Web/API — Тарифы и лимиты</t>
        </is>
      </c>
      <c r="C11" s="2" t="inlineStr">
        <is>
          <t>Тарифы / Лимиты</t>
        </is>
      </c>
      <c r="D11" s="2" t="inlineStr">
        <is>
          <t>Скрытый тариф исчезает с лендинга, но остаётся в редакторе
Переключатель «Показывать на лендинге» управляет только публичной витриной. Супер-админ должен иметь возможность вернуть скрытый тариф.</t>
        </is>
      </c>
      <c r="E11" s="2" t="inlineStr">
        <is>
          <t>Все три тарифа активны. Сохранено состояние выбранного тестового тарифа.</t>
        </is>
      </c>
      <c r="F11" s="2" t="inlineStr">
        <is>
          <t>1. Открой редактирование выбранного тарифа.
2. Выключи «Показывать на лендинге» и нажми «Сохранить».
3. Обнови страницу «Тарифы».
4. Обнови лендинг и посчитай карточки.
5. Снова включи переключатель и обнови обе страницы.</t>
        </is>
      </c>
      <c r="G11" s="2" t="inlineStr">
        <is>
          <t>В админке карточка остаётся и получает метку «Скрыт». На лендинге её нет, остальные активные тарифы на месте. После включения карточка возвращается один раз.</t>
        </is>
      </c>
      <c r="H11" s="21" t="inlineStr">
        <is>
          <t>High</t>
        </is>
      </c>
      <c r="I11" s="3" t="inlineStr">
        <is>
          <t>Not Run</t>
        </is>
      </c>
      <c r="J11" s="2" t="inlineStr">
        <is>
          <t>web|api|positive</t>
        </is>
      </c>
    </row>
    <row r="12" ht="109.6" customHeight="1">
      <c r="A12" s="3" t="inlineStr">
        <is>
          <t>TC-237</t>
        </is>
      </c>
      <c r="B12" s="2" t="inlineStr">
        <is>
          <t>Web/API — Тарифы и лимиты</t>
        </is>
      </c>
      <c r="C12" s="2" t="inlineStr">
        <is>
          <t>Тарифы / Лимиты</t>
        </is>
      </c>
      <c r="D12" s="2" t="inlineStr">
        <is>
          <t>Если скрыты все тарифы, лендинг не показывает устаревшую витрину
Лендинг заменяет данные только когда API вернул непустой активный список. Это опасная граница: при нуле активных планов нельзя молча показать встроенные старые цены.</t>
        </is>
      </c>
      <c r="E12" s="2" t="inlineStr">
        <is>
          <t>Сохранены исходные состояния всех тарифов. Проверка согласована, потому что временно скрывает витрину только на staging.</t>
        </is>
      </c>
      <c r="F12" s="2" t="inlineStr">
        <is>
          <t>1. По очереди выключи «Показывать на лендинге» у всех трёх тарифов.
2. Убедись в админке, что все три имеют метку «Скрыт».
3. Открой лендинг в новом приватном окне и перейди к разделу `Tariflar`.
4. Проверь, какие карточки показаны.
5. Верни исходные состояния всех тарифов.</t>
        </is>
      </c>
      <c r="G12" s="2" t="inlineStr">
        <is>
          <t>Лендинг честно показывает пустое состояние или скрывает раздел, но не подставляет встроенные тарифы как будто они активны. Если появились три резервные карточки — это дефект ложной витрины.</t>
        </is>
      </c>
      <c r="H12" s="21" t="inlineStr">
        <is>
          <t>High</t>
        </is>
      </c>
      <c r="I12" s="3" t="inlineStr">
        <is>
          <t>Not Run</t>
        </is>
      </c>
      <c r="J12" s="2" t="inlineStr">
        <is>
          <t>web|boundary</t>
        </is>
      </c>
    </row>
    <row r="13" ht="109.6" customHeight="1">
      <c r="A13" s="3" t="inlineStr">
        <is>
          <t>TC-238</t>
        </is>
      </c>
      <c r="B13" s="2" t="inlineStr">
        <is>
          <t>Web/API — Тарифы и лимиты</t>
        </is>
      </c>
      <c r="C13" s="2" t="inlineStr">
        <is>
          <t>/v1/plans</t>
        </is>
      </c>
      <c r="D13" s="2" t="inlineStr">
        <is>
          <t>Недоступность API тарифов оставляет понятное резервное состояние
В коде лендинга есть три встроенные резервные карточки. Проверяем, что при временной ошибке посетитель видит целую страницу, а данные не выглядят как подтверждённые цены.</t>
        </is>
      </c>
      <c r="E13" s="2" t="inlineStr">
        <is>
          <t>На staging можно временно заблокировать только GET `/v1/plans` в браузере. Реальные значения тарифов записаны для сравнения.</t>
        </is>
      </c>
      <c r="F13" s="2" t="inlineStr">
        <is>
          <t>1. Заблокируй запрос `/v1/plans` и открой лендинг в новом окне.
2. Перейди к разделу `Tariflar`.
3. Проверь три резервные карточки и отсутствие технической ошибки.
4. Сравни их с текущими данными админки.
5. Верни запрос и обнови страницу.</t>
        </is>
      </c>
      <c r="G13" s="2" t="inlineStr">
        <is>
          <t>Страница не пустая и не падает. Резервные карточки показывают `Kelishiladi`, не выдают старое число за актуальную цену. После восстановления появляются реальные активные данные без ручной очистки браузера.</t>
        </is>
      </c>
      <c r="H13" s="22" t="inlineStr">
        <is>
          <t>Medium</t>
        </is>
      </c>
      <c r="I13" s="3" t="inlineStr">
        <is>
          <t>Not Run</t>
        </is>
      </c>
      <c r="J13" s="2" t="inlineStr">
        <is>
          <t>web|api|negative</t>
        </is>
      </c>
    </row>
    <row r="14" ht="83.19999999999999" customHeight="1">
      <c r="A14" s="3" t="inlineStr">
        <is>
          <t>TC-239</t>
        </is>
      </c>
      <c r="B14" s="2" t="inlineStr">
        <is>
          <t>Web/API — Тарифы и лимиты</t>
        </is>
      </c>
      <c r="C14" s="2" t="inlineStr">
        <is>
          <t>Тарифы / Лимиты</t>
        </is>
      </c>
      <c r="D14" s="2" t="inlineStr">
        <is>
          <t>Двойное нажатие «Сохранить» не дублирует тариф
Во время отправки кнопка должна блокироваться. Повторный запрос не создаёт четвёртую карточку и не меняет код плана.</t>
        </is>
      </c>
      <c r="E14" s="2" t="inlineStr">
        <is>
          <t>Открыто редактирование тестового тарифа, исходные значения сохранены.</t>
        </is>
      </c>
      <c r="F14" s="2" t="inlineStr">
        <is>
          <t>1. Измени краткое описание.
2. Быстро дважды нажми «Сохранить».
3. Дождись сообщения и обнови страницу.
4. Запроси публичный список через API.
5. Посчитай элементы с кодом изменённого тарифа.
6. Верни исходное описание.</t>
        </is>
      </c>
      <c r="G14" s="2" t="inlineStr">
        <is>
          <t>Во время запроса кнопка показывает «Сохранение…» и не принимает второй щелчок. Сохранён один результат, в API один элемент с этим кодом и всего три плана.</t>
        </is>
      </c>
      <c r="H14" s="22" t="inlineStr">
        <is>
          <t>Medium</t>
        </is>
      </c>
      <c r="I14" s="3" t="inlineStr">
        <is>
          <t>Not Run</t>
        </is>
      </c>
      <c r="J14" s="2" t="inlineStr">
        <is>
          <t>web|api|negative</t>
        </is>
      </c>
    </row>
    <row r="15" ht="96.39999999999999" customHeight="1">
      <c r="A15" s="3" t="inlineStr">
        <is>
          <t>TC-240</t>
        </is>
      </c>
      <c r="B15" s="2" t="inlineStr">
        <is>
          <t>Web/API — Тарифы и лимиты</t>
        </is>
      </c>
      <c r="C15" s="2" t="inlineStr">
        <is>
          <t>Тарифы / Лимиты</t>
        </is>
      </c>
      <c r="D15" s="2" t="inlineStr">
        <is>
          <t>Потеря сети при сохранении не показывает ложный успех
Изменения нельзя считать сохранёнными, если ответ не пришёл. Пользователь должен увидеть ошибку и иметь возможность безопасно повторить.</t>
        </is>
      </c>
      <c r="E15" s="2" t="inlineStr">
        <is>
          <t>Открыта форма тарифа. Инструменты браузера позволяют включить Offline. Исходные значения записаны.</t>
        </is>
      </c>
      <c r="F15" s="2" t="inlineStr">
        <is>
          <t>1. Измени название, цену и две возможности.
2. Нажми «Сохранить» и сразу включи Offline.
3. Верни сеть и посмотри сообщение.
4. Обнови страницу и сравни фактические значения.
5. Если изменения не сохранились, введи их снова и сохрани один раз.
6. Верни исходные данные.</t>
        </is>
      </c>
      <c r="G15" s="2" t="inlineStr">
        <is>
          <t>При отказе показана ошибка, не «Тариф сохранён». После обновления виден реальный результат; повтор не создаёт дубль и не смешивает старые и новые поля.</t>
        </is>
      </c>
      <c r="H15" s="21" t="inlineStr">
        <is>
          <t>High</t>
        </is>
      </c>
      <c r="I15" s="3" t="inlineStr">
        <is>
          <t>Not Run</t>
        </is>
      </c>
      <c r="J15" s="2" t="inlineStr">
        <is>
          <t>web|negative</t>
        </is>
      </c>
    </row>
    <row r="16" ht="96.39999999999999" customHeight="1">
      <c r="A16" s="3" t="inlineStr">
        <is>
          <t>TC-241</t>
        </is>
      </c>
      <c r="B16" s="2" t="inlineStr">
        <is>
          <t>Web/API — Тарифы и лимиты</t>
        </is>
      </c>
      <c r="C16" s="2" t="inlineStr">
        <is>
          <t>/v1/plans/full_ai</t>
        </is>
      </c>
      <c r="D16" s="2" t="inlineStr">
        <is>
          <t>РОП и оператор не изменяют тариф через API
Редактировать коммерческую витрину может только супер-админ. Проверяем серверную защиту, а не только отсутствие пункта меню.</t>
        </is>
      </c>
      <c r="E16" s="2" t="inlineStr">
        <is>
          <t>Есть токены РОП и оператора. Записаны текущие данные `full_ai`.</t>
        </is>
      </c>
      <c r="F16" s="2" t="inlineStr">
        <is>
          <t>1. С токеном РОП отправь PATCH `/v1/plans/full_ai` с другим названием и корректными остальными полями.
2. Запиши код ответа.
3. Повтори запрос с токеном оператора.
4. Без токена повтори PATCH.
5. Запроси публичный список и проверь `full_ai`.</t>
        </is>
      </c>
      <c r="G16" s="2" t="inlineStr">
        <is>
          <t>РОП и оператор получают 403, запрос без токена — 401. Данные `full_ai` не изменились. Публичный GET при этом остаётся доступен.</t>
        </is>
      </c>
      <c r="H16" s="20" t="inlineStr">
        <is>
          <t>Critical</t>
        </is>
      </c>
      <c r="I16" s="3" t="inlineStr">
        <is>
          <t>Not Run</t>
        </is>
      </c>
      <c r="J16" s="2" t="inlineStr">
        <is>
          <t>api|negative</t>
        </is>
      </c>
    </row>
    <row r="17" ht="83.19999999999999" customHeight="1">
      <c r="A17" s="3" t="inlineStr">
        <is>
          <t>TC-242</t>
        </is>
      </c>
      <c r="B17" s="2" t="inlineStr">
        <is>
          <t>Web/API — Тарифы и лимиты</t>
        </is>
      </c>
      <c r="C17" s="2" t="inlineStr">
        <is>
          <t>/v1/plans/premium · /v1/plans/FULL_AI · /v1/plans</t>
        </is>
      </c>
      <c r="D17" s="2" t="inlineStr">
        <is>
          <t>Неизвестный код тарифа не создаёт четвёртый план
Допустимы только три фиксированных кода. Нельзя через адрес запроса создать `premium`, опечатку или пустой план.</t>
        </is>
      </c>
      <c r="E17" s="2" t="inlineStr">
        <is>
          <t>Есть токен супер-админа и подготовлен корректный JSON тарифа.</t>
        </is>
      </c>
      <c r="F17" s="2" t="inlineStr">
        <is>
          <t>1. Отправь PATCH `/v1/plans/premium` с корректным JSON.
2. Отправь PATCH `/v1/plans/FULL_AI`.
3. Отправь PATCH `/v1/plans/%20`.
4. После каждого запроса проверь код.
5. Запроси GET `/v1/plans` и посчитай элементы.</t>
        </is>
      </c>
      <c r="G17" s="2" t="inlineStr">
        <is>
          <t>Каждый PATCH отклонён с 400/422/404. В публичном списке по-прежнему ровно три допустимых кода; четвёртая строка не создана.</t>
        </is>
      </c>
      <c r="H17" s="21" t="inlineStr">
        <is>
          <t>High</t>
        </is>
      </c>
      <c r="I17" s="3" t="inlineStr">
        <is>
          <t>Not Run</t>
        </is>
      </c>
      <c r="J17" s="2" t="inlineStr">
        <is>
          <t>api|negative</t>
        </is>
      </c>
    </row>
    <row r="18" ht="96.39999999999999" customHeight="1">
      <c r="A18" s="3" t="inlineStr">
        <is>
          <t>TC-243</t>
        </is>
      </c>
      <c r="B18" s="2" t="inlineStr">
        <is>
          <t>Web/API — Тарифы и лимиты</t>
        </is>
      </c>
      <c r="C18" s="2" t="inlineStr">
        <is>
          <t>Тарифы / Лимиты</t>
        </is>
      </c>
      <c r="D18" s="2" t="inlineStr">
        <is>
          <t>Код тарифа нельзя изменить или удалить из интерфейса
Супер-админ редактирует только оформление плана. Код связывает лендинг, заявки и РОП, поэтому остаётся неизменным.</t>
        </is>
      </c>
      <c r="E18" s="2" t="inlineStr">
        <is>
          <t>Выполнен вход под супер-админом, открыт раздел «Тарифы».</t>
        </is>
      </c>
      <c r="F18" s="2" t="inlineStr">
        <is>
          <t>1. Открой редактирование каждого тарифа.
2. Проверь список доступных полей.
3. Поищи кнопки «Создать тариф», «Удалить тариф» и поле кода.
4. Измени название одного тарифа и сохрани.
5. Запроси публичный API и сравни его код до и после.</t>
        </is>
      </c>
      <c r="G18" s="2" t="inlineStr">
        <is>
          <t>Поля кода и действий создания/удаления нет. Изменение названия не меняет код; связанный тариф остаётся тем же.</t>
        </is>
      </c>
      <c r="H18" s="21" t="inlineStr">
        <is>
          <t>High</t>
        </is>
      </c>
      <c r="I18" s="3" t="inlineStr">
        <is>
          <t>Not Run</t>
        </is>
      </c>
      <c r="J18" s="2" t="inlineStr">
        <is>
          <t>web|negative</t>
        </is>
      </c>
    </row>
    <row r="19" ht="109.6" customHeight="1">
      <c r="A19" s="3" t="inlineStr">
        <is>
          <t>TC-244</t>
        </is>
      </c>
      <c r="B19" s="2" t="inlineStr">
        <is>
          <t>Web/API — Тарифы и лимиты</t>
        </is>
      </c>
      <c r="C19" s="2" t="inlineStr">
        <is>
          <t>Тарифы / Лимиты</t>
        </is>
      </c>
      <c r="D19" s="2" t="inlineStr">
        <is>
          <t>Тариф в демо-заявке можно не выбирать
Посетитель может ещё не знать подходящий план. Значение `Hozircha bilmayman` должно создать заявку без искусственного тарифа.</t>
        </is>
      </c>
      <c r="E19" s="2" t="inlineStr">
        <is>
          <t>Открыт лендинг staging. Подготовлены уникальные тестовые имя, телефон и компания.</t>
        </is>
      </c>
      <c r="F19" s="2" t="inlineStr">
        <is>
          <t>1. Перейди к форме Demo.
2. Заполни обязательные поля.
3. В списке `Qaysi tarif qiziqtiradi?` оставь `Hozircha bilmayman`.
4. Нажми `Demo so'rash` один раз.
5. Под супер-админом открой новую заявку в разделе «Лиды».
6. Проверь строку «Выбранный тариф».</t>
        </is>
      </c>
      <c r="G19" s="2" t="inlineStr">
        <is>
          <t>Заявка принята один раз, показано `So'rov qabul qilindi`. В карточке стоит «Не выбрано», а не первый тариф и не пустое техническое значение.</t>
        </is>
      </c>
      <c r="H19" s="21" t="inlineStr">
        <is>
          <t>High</t>
        </is>
      </c>
      <c r="I19" s="3" t="inlineStr">
        <is>
          <t>Not Run</t>
        </is>
      </c>
      <c r="J19" s="2" t="inlineStr">
        <is>
          <t>web|positive</t>
        </is>
      </c>
    </row>
    <row r="20" ht="109.6" customHeight="1">
      <c r="A20" s="3" t="inlineStr">
        <is>
          <t>TC-245</t>
        </is>
      </c>
      <c r="B20" s="2" t="inlineStr">
        <is>
          <t>Web/API — Тарифы и лимиты</t>
        </is>
      </c>
      <c r="C20" s="2" t="inlineStr">
        <is>
          <t>Тарифы / Лимиты</t>
        </is>
      </c>
      <c r="D20" s="2" t="inlineStr">
        <is>
          <t>Каждый допустимый тариф сохраняется в демо-заявке
Строковые значения лендинга и сервера должны совпадать точно. Проверяем все три варианта, потому что опечатка потеряет коммерческий выбор посетителя.</t>
        </is>
      </c>
      <c r="E20" s="2" t="inlineStr">
        <is>
          <t>Подготовлены три уникальных тестовых телефона.</t>
        </is>
      </c>
      <c r="F20" s="2" t="inlineStr">
        <is>
          <t>1. Создай заявку с `Tahlil — qo'ng'iroq nazorati`.
2. Создай вторую с `Tahlil + Avto-qo'ng'iroq`.
3. Создай третью с `Full AI — to'liq avtomatlashtirish`.
4. Открой три карточки в разделе «Лиды».
5. Сравни «Выбранный тариф» с выбором каждой формы.</t>
        </is>
      </c>
      <c r="G20" s="2" t="inlineStr">
        <is>
          <t>Все три заявки приняты и показывают соответственно «Анализ», «Анализ + Автозвонок» и «Full AI». Значения не перепутаны и не заменены на «Не выбрано».</t>
        </is>
      </c>
      <c r="H20" s="20" t="inlineStr">
        <is>
          <t>Critical</t>
        </is>
      </c>
      <c r="I20" s="3" t="inlineStr">
        <is>
          <t>Not Run</t>
        </is>
      </c>
      <c r="J20" s="2" t="inlineStr">
        <is>
          <t>web|api|positive</t>
        </is>
      </c>
    </row>
    <row r="21" ht="96.39999999999999" customHeight="1">
      <c r="A21" s="3" t="inlineStr">
        <is>
          <t>TC-246</t>
        </is>
      </c>
      <c r="B21" s="2" t="inlineStr">
        <is>
          <t>Web/API — Тарифы и лимиты</t>
        </is>
      </c>
      <c r="C21" s="2" t="inlineStr">
        <is>
          <t>Тарифы / Лимиты</t>
        </is>
      </c>
      <c r="D21" s="2" t="inlineStr">
        <is>
          <t>Неизвестный тариф в заявке отклоняется сервером
Посетитель может изменить запрос вручную. Сервер обязан принять только три договорённых значения, независимо от списка на странице.</t>
        </is>
      </c>
      <c r="E21" s="2" t="inlineStr">
        <is>
          <t>Известен публичный endpoint демо-заявки из .env. Подготовлен безопасный JSON с уникальным телефоном и `tarif: premium`.</t>
        </is>
      </c>
      <c r="F21" s="2" t="inlineStr">
        <is>
          <t>1. В Postman отправь демо-заявку с допустимыми именем, телефоном, компанией и CRM.
2. Укажи `tarif` равным `premium`.
3. Проверь код и текст ответа.
4. Под супер-админом поищи заявку по уникальному телефону.</t>
        </is>
      </c>
      <c r="G21" s="2" t="inlineStr">
        <is>
          <t>Сервер возвращает 400/422 и не создаёт заявку. Неизвестное значение не сохраняется как свободный текст и не превращается молча в другой тариф.</t>
        </is>
      </c>
      <c r="H21" s="21" t="inlineStr">
        <is>
          <t>High</t>
        </is>
      </c>
      <c r="I21" s="3" t="inlineStr">
        <is>
          <t>Not Run</t>
        </is>
      </c>
      <c r="J21" s="2" t="inlineStr">
        <is>
          <t>api|negative</t>
        </is>
      </c>
    </row>
    <row r="22" ht="96.39999999999999" customHeight="1">
      <c r="A22" s="3" t="inlineStr">
        <is>
          <t>TC-247</t>
        </is>
      </c>
      <c r="B22" s="2" t="inlineStr">
        <is>
          <t>Web/API — Тарифы и лимиты</t>
        </is>
      </c>
      <c r="C22" s="2" t="inlineStr">
        <is>
          <t>Тарифы / Лимиты</t>
        </is>
      </c>
      <c r="D22" s="2" t="inlineStr">
        <is>
          <t>Выбранный тариф сохраняется при создании РОП
Супер-админ назначает тариф при создании компании. Проверяем связь нового РОП с точным кодом плана.</t>
        </is>
      </c>
      <c r="E22" s="2" t="inlineStr">
        <is>
          <t>Подготовлены уникальные данные нового тестового РОП. Выполнен вход под супер-админом.</t>
        </is>
      </c>
      <c r="F22" s="2" t="inlineStr">
        <is>
          <t>1. Открой «РОПы» и нажми «Новый РОП».
2. Заполни обязательные поля.
3. В поле «Тариф» выбери «Аналитика + Авто-звонок».
4. Нажми «Создать».
5. Открой созданного РОП и запроси его карточку через API.</t>
        </is>
      </c>
      <c r="G22" s="2" t="inlineStr">
        <is>
          <t>РОП создан один раз. В ответе его тариф равен `taxlil_dashboard_auto_call`; выбор не потерян и не заменён на `full_ai` или пустое значение.</t>
        </is>
      </c>
      <c r="H22" s="20" t="inlineStr">
        <is>
          <t>Critical</t>
        </is>
      </c>
      <c r="I22" s="3" t="inlineStr">
        <is>
          <t>Not Run</t>
        </is>
      </c>
      <c r="J22" s="2" t="inlineStr">
        <is>
          <t>web|api|positive</t>
        </is>
      </c>
    </row>
    <row r="23" ht="96.39999999999999" customHeight="1">
      <c r="A23" s="3" t="inlineStr">
        <is>
          <t>TC-248</t>
        </is>
      </c>
      <c r="B23" s="2" t="inlineStr">
        <is>
          <t>Web/API — Тарифы и лимиты</t>
        </is>
      </c>
      <c r="C23" s="2" t="inlineStr">
        <is>
          <t>Тарифы / Лимиты</t>
        </is>
      </c>
      <c r="D23" s="2" t="inlineStr">
        <is>
          <t>Тариф заявки заранее выбран при создании РОП из лида
Выбор посетителя должен пройти весь путь: лендинг → карточка заявки → форма создания РОП → новый аккаунт и отметка конвертации.</t>
        </is>
      </c>
      <c r="E23" s="2" t="inlineStr">
        <is>
          <t>Есть новая демо-заявка с тарифом Full AI и уникальными данными, РОП из неё ещё не создан.</t>
        </is>
      </c>
      <c r="F23" s="2" t="inlineStr">
        <is>
          <t>1. Под супер-админом открой карточку заявки.
2. Нажми «Создать РОП из лида».
3. Проверь, что в поле «Тариф» заранее выбран «Full AI».
4. Добавь уникальные логин и пароль, затем нажми «Создать РОП».
5. Проверь нового РОП и карточку заявки.</t>
        </is>
      </c>
      <c r="G23" s="2" t="inlineStr">
        <is>
          <t>Созданный РОП имеет `full_ai`, заявка получает время конвертации и сообщение «РОП уже создан из этого лида». Повтор не создаёт второго РОП.</t>
        </is>
      </c>
      <c r="H23" s="20" t="inlineStr">
        <is>
          <t>Critical</t>
        </is>
      </c>
      <c r="I23" s="3" t="inlineStr">
        <is>
          <t>Not Run</t>
        </is>
      </c>
      <c r="J23" s="2" t="inlineStr">
        <is>
          <t>web|api|positive</t>
        </is>
      </c>
    </row>
    <row r="24" ht="136" customHeight="1">
      <c r="A24" s="3" t="inlineStr">
        <is>
          <t>TC-249</t>
        </is>
      </c>
      <c r="B24" s="2" t="inlineStr">
        <is>
          <t>Web/API — Тарифы и лимиты</t>
        </is>
      </c>
      <c r="C24" s="2" t="inlineStr">
        <is>
          <t>/v1/calling/next · /v1/amocrm/deals/{id}/analyze</t>
        </is>
      </c>
      <c r="D24" s="2" t="inlineStr">
        <is>
          <t>Тариф «Аналитика» не открывает автообзвон и AI
Команда подтвердила, что тарифы ограничивают функции. Рабочая матрица Q-12: базовый план даёт аналитику, но не автообзвон и не AI. В текущем коде явные проверки не найдены, поэтому кейс может выявить расхождение версии или реализации.</t>
        </is>
      </c>
      <c r="E24" s="2" t="inlineStr">
        <is>
          <t>Есть отдельный тестовый РОП с тарифом `taxlil_dashboard`, оператор и тестовый лид. На staging включены модули аналитики, обзвона и AI.</t>
        </is>
      </c>
      <c r="F24" s="2" t="inlineStr">
        <is>
          <t>1. Войди под РОП и оператором этой компании и проверь доступ к аналитике/истории звонков.
2. Проверь наличие кнопок и страниц автообзвона.
3. С токеном оператора запроси GET `/v1/calling/next` — это прямой запуск получения следующего лида, минуя скрытые кнопки.
4. Создай отвеченный тестовый звонок и проверь запуск AI-анализа.
5. С тем же токеном попробуй POST `/v1/amocrm/deals/{id}/analyze` для тестового лида.</t>
        </is>
      </c>
      <c r="G24" s="2" t="inlineStr">
        <is>
          <t>Аналитика доступна. Автообзвон и AI скрыты в интерфейсе, а прямые API-запросы отклоняются понятным сообщением о тарифе. Если всё доступно — сначала подтвердить матрицу с командой по Q-12, затем заводить дефект.</t>
        </is>
      </c>
      <c r="H24" s="20" t="inlineStr">
        <is>
          <t>Critical</t>
        </is>
      </c>
      <c r="I24" s="3" t="inlineStr">
        <is>
          <t>Not Run</t>
        </is>
      </c>
      <c r="J24" s="2" t="inlineStr">
        <is>
          <t>web|api|negative</t>
        </is>
      </c>
    </row>
    <row r="25" ht="96.39999999999999" customHeight="1">
      <c r="A25" s="3" t="inlineStr">
        <is>
          <t>TC-250</t>
        </is>
      </c>
      <c r="B25" s="2" t="inlineStr">
        <is>
          <t>Web/API — Тарифы и лимиты</t>
        </is>
      </c>
      <c r="C25" s="2" t="inlineStr">
        <is>
          <t>/v1/amocrm/deals/{id}/analyze</t>
        </is>
      </c>
      <c r="D25" s="2" t="inlineStr">
        <is>
          <t>Тариф «Аналитика + Авто-звонок» не открывает AI
Средний тариф по рабочей матрице даёт аналитику и автообзвон, но не полный AI-анализ звонков.</t>
        </is>
      </c>
      <c r="E25" s="2" t="inlineStr">
        <is>
          <t>Есть отдельный РОП с `taxlil_dashboard_auto_call`, оператор, лид и отвеченная запись звонка.</t>
        </is>
      </c>
      <c r="F25" s="2" t="inlineStr">
        <is>
          <t>1. Войди под РОП и проверь аналитику.
2. Войди под оператором и пройди начало цикла автообзвона до тестового звонка.
3. Дождись появления отвеченной записи.
4. Проверь, запускается ли AI через интерфейс.
5. С токеном оператора попробуй POST `/v1/amocrm/deals/{id}/analyze` для тестового лида.</t>
        </is>
      </c>
      <c r="G25" s="2" t="inlineStr">
        <is>
          <t>Аналитика и автообзвон доступны. AI-функции скрыты и защищены на сервере. Прямой запрос не обходит тариф; расхождение сначала сверяется с командой по Q-12.</t>
        </is>
      </c>
      <c r="H25" s="20" t="inlineStr">
        <is>
          <t>Critical</t>
        </is>
      </c>
      <c r="I25" s="3" t="inlineStr">
        <is>
          <t>Not Run</t>
        </is>
      </c>
      <c r="J25" s="2" t="inlineStr">
        <is>
          <t>web|api|negative</t>
        </is>
      </c>
    </row>
    <row r="26" ht="96.39999999999999" customHeight="1">
      <c r="A26" s="3" t="inlineStr">
        <is>
          <t>TC-251</t>
        </is>
      </c>
      <c r="B26" s="2" t="inlineStr">
        <is>
          <t>Web/API — Тарифы и лимиты</t>
        </is>
      </c>
      <c r="C26" s="2" t="inlineStr">
        <is>
          <t>Тарифы / Лимиты</t>
        </is>
      </c>
      <c r="D26" s="2" t="inlineStr">
        <is>
          <t>Тариф Full AI открывает все три группы функций
Верхний тариф должен позволять аналитику, автообзвон и AI-анализ без ложного запрета тарифа.</t>
        </is>
      </c>
      <c r="E26" s="2" t="inlineStr">
        <is>
          <t>Есть отдельный РОП с `full_ai`, оператор, тестовый лид, рабочие OnlinePBX, AmoCRM и Gemini.</t>
        </is>
      </c>
      <c r="F26" s="2" t="inlineStr">
        <is>
          <t>1. Под РОП открой аналитику и историю звонков.
2. Под оператором запусти тестовый автообзвон.
3. Заверши отвеченный звонок и дождись AI-анализа.
4. Подтверди результат только на тестовой сделке.
5. Проверь, что ни один запрос не отклонён из-за тарифа.</t>
        </is>
      </c>
      <c r="G26" s="2" t="inlineStr">
        <is>
          <t>Все три группы функций доступны и проходят полный тестовый путь. Ограничение тарифа не блокирует законные действия Full AI.</t>
        </is>
      </c>
      <c r="H26" s="20" t="inlineStr">
        <is>
          <t>Critical</t>
        </is>
      </c>
      <c r="I26" s="3" t="inlineStr">
        <is>
          <t>Not Run</t>
        </is>
      </c>
      <c r="J26" s="2" t="inlineStr">
        <is>
          <t>web|api|positive</t>
        </is>
      </c>
    </row>
    <row r="27" ht="122.8" customHeight="1">
      <c r="A27" s="3" t="inlineStr">
        <is>
          <t>TC-252</t>
        </is>
      </c>
      <c r="B27" s="2" t="inlineStr">
        <is>
          <t>Web/API — Тарифы и лимиты</t>
        </is>
      </c>
      <c r="C27" s="2" t="inlineStr">
        <is>
          <t>Тарифы / Лимиты</t>
        </is>
      </c>
      <c r="D27" s="2" t="inlineStr">
        <is>
          <t>Длинный текст и HTML в тарифе не ломают витрину
Описание и возможности хранятся как текст без явного ограничения длины. Проверяем длинное содержимое и строку, похожую на код страницы, без выполнения кода.</t>
        </is>
      </c>
      <c r="E27" s="2" t="inlineStr">
        <is>
          <t>Сохранены исходные значения тестового тарифа. Подготовлен текст на 5000 символов и строка `&lt;img src=x onerror=alert(1)&gt;`.</t>
        </is>
      </c>
      <c r="F27" s="2" t="inlineStr">
        <is>
          <t>1. Вставь длинный текст в «Краткое описание».
2. Добавь строку, похожую на HTML, как отдельную возможность.
3. Сохрани и обнови админку.
4. Открой лендинг и проверь карточку на широком и мобильном размере.
5. Убедись, что никаких окон или загрузки постороннего изображения не произошло.
6. Верни исходные значения.</t>
        </is>
      </c>
      <c r="G27" s="2" t="inlineStr">
        <is>
          <t>Текст показывается как обычный безопасный текст, код не выполняется. Карточка не перекрывает соседние элементы; если лимит превышен, показана понятная ошибка до сохранения, а старые данные не потеряны.</t>
        </is>
      </c>
      <c r="H27" s="21" t="inlineStr">
        <is>
          <t>High</t>
        </is>
      </c>
      <c r="I27" s="3" t="inlineStr">
        <is>
          <t>Not Run</t>
        </is>
      </c>
      <c r="J27" s="2" t="inlineStr">
        <is>
          <t>web|boundary</t>
        </is>
      </c>
    </row>
  </sheetData>
  <autoFilter ref="A1:J27"/>
  <conditionalFormatting sqref="I2:I57">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7" showDropDown="0" showInputMessage="0" showErrorMessage="0" allowBlank="1" errorTitle="Недопустимое значение" error="Выбери значение из списка: Critical, High, Medium, Low" type="list">
      <formula1>"Critical,High,Medium,Low"</formula1>
    </dataValidation>
    <dataValidation sqref="I2:I57"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TC-253</t>
        </is>
      </c>
      <c r="B2" s="2" t="inlineStr">
        <is>
          <t>Web/API — Локализация</t>
        </is>
      </c>
      <c r="C2" s="2" t="inlineStr">
        <is>
          <t>Русский / Узбекский / Форматы</t>
        </is>
      </c>
      <c r="D2" s="2" t="inlineStr">
        <is>
          <t>Первый запуск выбирает язык браузера из двух поддерживаемых
При первом посещении сохранённого выбора ещё нет. Система читает язык браузера: русский или узбекский, а любой другой безопасно заменяет узбекским.</t>
        </is>
      </c>
      <c r="E2" s="2" t="inlineStr">
        <is>
          <t>Открыто новое приватное окно без записи `operator-ai-lang` в Local Storage. Можно временно менять предпочитаемый язык браузера.</t>
        </is>
      </c>
      <c r="F2" s="2" t="inlineStr">
        <is>
          <t>1. Установи русский первым языком браузера и открой страницу входа staging.
2. Запиши язык полей и кнопки входа.
3. Закрой приватное окно и открой новое без сохранённых данных.
4. Установи узбекский первым языком и снова открой страницу входа.
5. Повтори в новом окне с английским первым языком.</t>
        </is>
      </c>
      <c r="G2" s="2" t="inlineStr">
        <is>
          <t>При русском браузере форма на русском, при узбекском — на узбекском. При английском используется безопасный язык по умолчанию — узбекский; страница не показывает пустые подписи или технические ключи.</t>
        </is>
      </c>
      <c r="H2" s="21" t="inlineStr">
        <is>
          <t>High</t>
        </is>
      </c>
      <c r="I2" s="3" t="inlineStr">
        <is>
          <t>Not Run</t>
        </is>
      </c>
      <c r="J2" s="2" t="inlineStr">
        <is>
          <t>web|boundary</t>
        </is>
      </c>
    </row>
    <row r="3" ht="122.8" customHeight="1">
      <c r="A3" s="3" t="inlineStr">
        <is>
          <t>TC-254</t>
        </is>
      </c>
      <c r="B3" s="2" t="inlineStr">
        <is>
          <t>Web/API — Локализация</t>
        </is>
      </c>
      <c r="C3" s="2" t="inlineStr">
        <is>
          <t>Русский / Узбекский / Форматы</t>
        </is>
      </c>
      <c r="D3" s="2" t="inlineStr">
        <is>
          <t>Язык можно переключить на странице входа
Переключатель доступен до авторизации, чтобы человек мог понять поля входа ещё до ввода логина и пароля.</t>
        </is>
      </c>
      <c r="E3" s="2" t="inlineStr">
        <is>
          <t>Открыта страница входа на узбекском, пользователь не авторизован.</t>
        </is>
      </c>
      <c r="F3" s="2" t="inlineStr">
        <is>
          <t>1. В правом верхнем углу нажми кнопку `uz` с подписью для выбора языка.
2. Проверь, что в меню есть `O'zbekcha` и «Русский», а текущий язык отмечен.
3. Нажми «Русский».
4. Проверь поля «Логин», «Пароль» и кнопку «Войти».
5. Снова открой меню, выбери `O'zbekcha` и проверь `Login`, `Parol`, `Kirish`.</t>
        </is>
      </c>
      <c r="G3" s="2" t="inlineStr">
        <is>
          <t>Текст меняется сразу, без перезагрузки и без потери введённых значений. В меню ровно два языка, выбранный вариант отмечен галочкой, код кнопки меняется между `ru` и `uz`.</t>
        </is>
      </c>
      <c r="H3" s="21" t="inlineStr">
        <is>
          <t>High</t>
        </is>
      </c>
      <c r="I3" s="3" t="inlineStr">
        <is>
          <t>Not Run</t>
        </is>
      </c>
      <c r="J3" s="2" t="inlineStr">
        <is>
          <t>web|positive</t>
        </is>
      </c>
    </row>
    <row r="4" ht="109.6" customHeight="1">
      <c r="A4" s="3" t="inlineStr">
        <is>
          <t>TC-255</t>
        </is>
      </c>
      <c r="B4" s="2" t="inlineStr">
        <is>
          <t>Web/API — Локализация</t>
        </is>
      </c>
      <c r="C4" s="2" t="inlineStr">
        <is>
          <t>Русский / Узбекский / Форматы</t>
        </is>
      </c>
      <c r="D4" s="2" t="inlineStr">
        <is>
          <t>Переключение языка обновляет открытый кабинет без перезагрузки
Меню, заголовок страницы, таблица и кнопки должны переключаться одновременно. Смешанный интерфейс особенно непонятен новичку.</t>
        </is>
      </c>
      <c r="E4" s="2" t="inlineStr">
        <is>
          <t>Выполнен вход под РОП, кабинет открыт на узбекском.</t>
        </is>
      </c>
      <c r="F4" s="2" t="inlineStr">
        <is>
          <t>1. Открой раздел «Операторы» на узбекском и запомни заголовки меню и таблицы.
2. Нажми `uz` и выбери «Русский».
3. Не обновляя страницу, проверь боковое меню, заголовок, столбцы таблицы и кнопки.
4. Открой карточку оператора и одно диалоговое окно.
5. Верни `O'zbekcha` и снова проверь те же места.</t>
        </is>
      </c>
      <c r="G4" s="2" t="inlineStr">
        <is>
          <t>Все элементы, подключённые к переводу, меняются сразу. Данные оператора, выбранная строка и открытый раздел сохраняются; одновременно русских и узбекских служебных подписей на одном экране нет.</t>
        </is>
      </c>
      <c r="H4" s="21" t="inlineStr">
        <is>
          <t>High</t>
        </is>
      </c>
      <c r="I4" s="3" t="inlineStr">
        <is>
          <t>Not Run</t>
        </is>
      </c>
      <c r="J4" s="2" t="inlineStr">
        <is>
          <t>web|positive</t>
        </is>
      </c>
    </row>
    <row r="5" ht="96.39999999999999" customHeight="1">
      <c r="A5" s="3" t="inlineStr">
        <is>
          <t>TC-256</t>
        </is>
      </c>
      <c r="B5" s="2" t="inlineStr">
        <is>
          <t>Web/API — Локализация</t>
        </is>
      </c>
      <c r="C5" s="2" t="inlineStr">
        <is>
          <t>Русский / Узбекский / Форматы</t>
        </is>
      </c>
      <c r="D5" s="2" t="inlineStr">
        <is>
          <t>Выбранный язык сохраняется после обновления и нового входа
Выбор хранится в браузере под ключом `operator-ai-lang`. Пользователь не должен переключать язык при каждом посещении.</t>
        </is>
      </c>
      <c r="E5" s="2" t="inlineStr">
        <is>
          <t>Кабинет открыт, выбран русский язык.</t>
        </is>
      </c>
      <c r="F5" s="2" t="inlineStr">
        <is>
          <t>1. Обнови страницу клавишей F5.
2. Перейди в другой раздел кабинета.
3. Выйди из аккаунта.
4. Закрой и снова открой вкладку с админкой.
5. Войди под той же ролью.
6. В инструментах браузера проверь значение `operator-ai-lang` в Local Storage.</t>
        </is>
      </c>
      <c r="G5" s="2" t="inlineStr">
        <is>
          <t>После всех действий остаётся русский язык, в Local Storage записано `ru`. После выбора узбекского там записывается `uz`; выход из аккаунта настройку не стирает.</t>
        </is>
      </c>
      <c r="H5" s="21" t="inlineStr">
        <is>
          <t>High</t>
        </is>
      </c>
      <c r="I5" s="3" t="inlineStr">
        <is>
          <t>Not Run</t>
        </is>
      </c>
      <c r="J5" s="2" t="inlineStr">
        <is>
          <t>web|positive</t>
        </is>
      </c>
    </row>
    <row r="6" ht="96.39999999999999" customHeight="1">
      <c r="A6" s="3" t="inlineStr">
        <is>
          <t>TC-257</t>
        </is>
      </c>
      <c r="B6" s="2" t="inlineStr">
        <is>
          <t>Web/API — Локализация</t>
        </is>
      </c>
      <c r="C6" s="2" t="inlineStr">
        <is>
          <t>Русский / Узбекский / Форматы</t>
        </is>
      </c>
      <c r="D6" s="2" t="inlineStr">
        <is>
          <t>Повреждённое значение языка не ломает страницу
Запись в браузере можно изменить вручную. Значения `en`, пустая строка или длинный мусор не должны загружать несуществующий перевод.</t>
        </is>
      </c>
      <c r="E6" s="2" t="inlineStr">
        <is>
          <t>Пользователь вышел из системы. Открыты инструменты браузера и Local Storage.</t>
        </is>
      </c>
      <c r="F6" s="2" t="inlineStr">
        <is>
          <t>1. Запиши в `operator-ai-lang` значение `en` и обнови страницу.
2. Проверь форму и кнопку языка.
3. Повтори с пустой строкой.
4. Повтори со строкой из 5000 букв.
5. Через меню выбери «Русский».</t>
        </is>
      </c>
      <c r="G6" s="2" t="inlineStr">
        <is>
          <t>Для неподдерживаемых значений включается узбекский язык по умолчанию; страница не падает и не показывает ключи. После обычного выбора сохраняется корректное `ru`, повреждённое значение заменено.</t>
        </is>
      </c>
      <c r="H6" s="22" t="inlineStr">
        <is>
          <t>Medium</t>
        </is>
      </c>
      <c r="I6" s="3" t="inlineStr">
        <is>
          <t>Not Run</t>
        </is>
      </c>
      <c r="J6" s="2" t="inlineStr">
        <is>
          <t>web|negative</t>
        </is>
      </c>
    </row>
    <row r="7" ht="109.6" customHeight="1">
      <c r="A7" s="3" t="inlineStr">
        <is>
          <t>TC-258</t>
        </is>
      </c>
      <c r="B7" s="2" t="inlineStr">
        <is>
          <t>Web/API — Локализация</t>
        </is>
      </c>
      <c r="C7" s="2" t="inlineStr">
        <is>
          <t>Русский / Узбекский / Форматы</t>
        </is>
      </c>
      <c r="D7" s="2" t="inlineStr">
        <is>
          <t>Меню каждой роли полностью переведено на ru и uz
У супер-админа, РОП и оператора разные разделы. Проверяем оба языка для всей матрицы ролей, а не только один общий экран.</t>
        </is>
      </c>
      <c r="E7" s="2" t="inlineStr">
        <is>
          <t>Есть три тестовые учётные записи: супер-админ, РОП и оператор.</t>
        </is>
      </c>
      <c r="F7" s="2" t="inlineStr">
        <is>
          <t>1. Войди под супер-админом на русском и прочитай все пункты меню; переключи на узбекский.
2. Повтори под РОП.
3. Повтори под оператором.
4. На каждом языке открой поиск по меню и введи название доступного раздела.
5. Сравни найденный пункт с подписью в боковом меню.</t>
        </is>
      </c>
      <c r="G7" s="2" t="inlineStr">
        <is>
          <t>Каждой роли показан её полный набор разделов с согласованными переводами. Поиск находит пункт по текущему языку, старые названия после переключения не остаются.</t>
        </is>
      </c>
      <c r="H7" s="21" t="inlineStr">
        <is>
          <t>High</t>
        </is>
      </c>
      <c r="I7" s="3" t="inlineStr">
        <is>
          <t>Not Run</t>
        </is>
      </c>
      <c r="J7" s="2" t="inlineStr">
        <is>
          <t>web|positive</t>
        </is>
      </c>
    </row>
    <row r="8" ht="109.6" customHeight="1">
      <c r="A8" s="3" t="inlineStr">
        <is>
          <t>TC-259</t>
        </is>
      </c>
      <c r="B8" s="2" t="inlineStr">
        <is>
          <t>Web/API — Локализация</t>
        </is>
      </c>
      <c r="C8" s="2" t="inlineStr">
        <is>
          <t>Русский / Узбекский / Форматы</t>
        </is>
      </c>
      <c r="D8" s="2" t="inlineStr">
        <is>
          <t>Ошибки формы входа переводятся вместе с языком
Подсказки обязательных полей должны быть понятны на выбранном языке, включая ошибку неверного логина или пароля.</t>
        </is>
      </c>
      <c r="E8" s="2" t="inlineStr">
        <is>
          <t>Открыта страница входа. Подготовлены заведомо неверные данные без реальных секретов.</t>
        </is>
      </c>
      <c r="F8" s="2" t="inlineStr">
        <is>
          <t>1. Выбери русский, оставь поля пустыми и попытайся отправить форму.
2. Введи неверные логин и пароль и нажми «Войти».
3. Не закрывая страницу, переключи язык на узбекский.
4. Повтори пустую форму и неверный вход.
5. Проверь, что ранее введённый пароль не появился открытым текстом.</t>
        </is>
      </c>
      <c r="G8" s="2" t="inlineStr">
        <is>
          <t>Названия полей, клиентские подсказки и безопасное сообщение об отказе соответствуют текущему языку. Нет необработанного кода ошибки, JSON или смешения двух языков.</t>
        </is>
      </c>
      <c r="H8" s="21" t="inlineStr">
        <is>
          <t>High</t>
        </is>
      </c>
      <c r="I8" s="3" t="inlineStr">
        <is>
          <t>Not Run</t>
        </is>
      </c>
      <c r="J8" s="2" t="inlineStr">
        <is>
          <t>web|negative</t>
        </is>
      </c>
    </row>
    <row r="9" ht="109.6" customHeight="1">
      <c r="A9" s="3" t="inlineStr">
        <is>
          <t>TC-260</t>
        </is>
      </c>
      <c r="B9" s="2" t="inlineStr">
        <is>
          <t>Web/API — Локализация</t>
        </is>
      </c>
      <c r="C9" s="2" t="inlineStr">
        <is>
          <t>Русский / Узбекский / Форматы</t>
        </is>
      </c>
      <c r="D9" s="2" t="inlineStr">
        <is>
          <t>Подсказки форм пользователей соответствуют текущему языку
Схемы проверки полей строятся заново для активного языка. Проверяем, что уже открытая форма не сохраняет сообщения на старом языке.</t>
        </is>
      </c>
      <c r="E9" s="2" t="inlineStr">
        <is>
          <t>Под супер-админом открыта пустая форма «Новый РОП» на узбекском.</t>
        </is>
      </c>
      <c r="F9" s="2" t="inlineStr">
        <is>
          <t>1. Коснись обязательных полей и вызови сообщения об ошибках.
2. Переключи язык на русский, не закрывая форму.
3. Снова коснись полей «Имя», «Фамилия», «Телефон», «Пароль», «Имя пользователя» и «Название компании».
4. Закрой форму, под РОП открой создание оператора и повтори проверку.</t>
        </is>
      </c>
      <c r="G9" s="2" t="inlineStr">
        <is>
          <t>После переключения все новые и уже показанные подсказки отображаются на русском. После возврата на узбекский они снова узбекские; форма и введённые значения не сбрасываются.</t>
        </is>
      </c>
      <c r="H9" s="21" t="inlineStr">
        <is>
          <t>High</t>
        </is>
      </c>
      <c r="I9" s="3" t="inlineStr">
        <is>
          <t>Not Run</t>
        </is>
      </c>
      <c r="J9" s="2" t="inlineStr">
        <is>
          <t>web|boundary</t>
        </is>
      </c>
    </row>
    <row r="10" ht="109.6" customHeight="1">
      <c r="A10" s="3" t="inlineStr">
        <is>
          <t>TC-261</t>
        </is>
      </c>
      <c r="B10" s="2" t="inlineStr">
        <is>
          <t>Web/API — Локализация</t>
        </is>
      </c>
      <c r="C10" s="2" t="inlineStr">
        <is>
          <t>Русский / Узбекский / Форматы</t>
        </is>
      </c>
      <c r="D10" s="2" t="inlineStr">
        <is>
          <t>Окно смены пароля полностью переводится
В коде диалог смены пароля содержит захардкоженные узбекские надписи. Проверяем регрессию: русский пользователь не должен получать отдельное узбекское окно.</t>
        </is>
      </c>
      <c r="E10" s="2" t="inlineStr">
        <is>
          <t>Кабинет открыт на русском под любой активной ролью.</t>
        </is>
      </c>
      <c r="F10" s="2" t="inlineStr">
        <is>
          <t>1. Открой меню аккаунта.
2. Нажми действие смены пароля.
3. Проверь заголовок, названия трёх полей, подсказки, кнопки отмены и сохранения.
4. Введи несовпадающие новые пароли и прочитай ошибку.
5. Закрой окно без сохранения, переключи на узбекский и открой снова.</t>
        </is>
      </c>
      <c r="G10" s="2" t="inlineStr">
        <is>
          <t>На русском весь диалог и ошибки русские, на узбекском — узбекские. Строки `Parolni o'zgartirish`, `Bekor qilish`, `Saqlash` не остаются в русском интерфейсе.</t>
        </is>
      </c>
      <c r="H10" s="21" t="inlineStr">
        <is>
          <t>High</t>
        </is>
      </c>
      <c r="I10" s="3" t="inlineStr">
        <is>
          <t>Not Run</t>
        </is>
      </c>
      <c r="J10" s="2" t="inlineStr">
        <is>
          <t>web|negative</t>
        </is>
      </c>
    </row>
    <row r="11" ht="122.8" customHeight="1">
      <c r="A11" s="3" t="inlineStr">
        <is>
          <t>TC-262</t>
        </is>
      </c>
      <c r="B11" s="2" t="inlineStr">
        <is>
          <t>Web/API — Локализация</t>
        </is>
      </c>
      <c r="C11" s="2" t="inlineStr">
        <is>
          <t>Русский / Узбекский / Форматы</t>
        </is>
      </c>
      <c r="D11" s="2" t="inlineStr">
        <is>
          <t>Цикл звонка и подтверждение результата полностью переводятся
Это основной рабочий экран оператора. Проверяем статусы подготовки, звонка, ожидания AI, ручную форму и сообщения об ошибках на двух языках.</t>
        </is>
      </c>
      <c r="E11" s="2" t="inlineStr">
        <is>
          <t>Есть оператор с тестовым лидом и возможность пройти безопасный звонок либо использовать тестовый стаб стадий звонка.</t>
        </is>
      </c>
      <c r="F11" s="2" t="inlineStr">
        <is>
          <t>1. На русском открой «Режим звонков» и начни тестовый цикл.
2. На каждой стадии прочитай заголовок, подсказки, кнопки и таймер.
3. Открой форму подтверждения и вызови ошибку обязательного поля.
4. Переключи на узбекский до отправки результата.
5. Проверь те же элементы и закончи только тестовый сценарий.</t>
        </is>
      </c>
      <c r="G11" s="2" t="inlineStr">
        <is>
          <t>Все служебные тексты следуют текущему языку, данные лида и введённые значения не меняются. Названия бизнес-статусов AmoCRM остаются теми, что пришли из настроенной воронки, и не превращаются в другой статус.</t>
        </is>
      </c>
      <c r="H11" s="20" t="inlineStr">
        <is>
          <t>Critical</t>
        </is>
      </c>
      <c r="I11" s="3" t="inlineStr">
        <is>
          <t>Not Run</t>
        </is>
      </c>
      <c r="J11" s="2" t="inlineStr">
        <is>
          <t>web|positive</t>
        </is>
      </c>
    </row>
    <row r="12" ht="162.4" customHeight="1">
      <c r="A12" s="3" t="inlineStr">
        <is>
          <t>TC-263</t>
        </is>
      </c>
      <c r="B12" s="2" t="inlineStr">
        <is>
          <t>Web/API — Локализация</t>
        </is>
      </c>
      <c r="C12" s="2" t="inlineStr">
        <is>
          <t>Русский / Узбекский / Форматы</t>
        </is>
      </c>
      <c r="D12" s="2" t="inlineStr">
        <is>
          <t>Интеграции и тарифы не смешивают языки
Новые экраны часто остаются частично непереведёнными. Проверяем OnlinePBX, AmoCRM и редактор тарифов на русском и узбекском.</t>
        </is>
      </c>
      <c r="E12" s="2" t="inlineStr">
        <is>
          <t>Выполнен вход под супер-админом. Есть тестовый РОП и доступ к разделу «Тарифы».</t>
        </is>
      </c>
      <c r="F12" s="2" t="inlineStr">
        <is>
          <t>1. На русском открой карточку РОП и окна подключения AmoCRM и OnlinePBX.
2. Проверь заголовки, подсказки обязательных полей, кнопки и сообщения успеха/ошибки.
3. Открой «Тарифы», редактирование карточки и проверь все подписи.
4. Переключи на узбекский и повтори без сохранения секретов.
5. Отдельно отметь технические названия `Domain`, `API key`, `Webhook token` — они могут оставаться терминами, но окружающее объяснение должно быть переведено.</t>
        </is>
      </c>
      <c r="G12" s="2" t="inlineStr">
        <is>
          <t>Окна и сообщения используют один выбранный язык. Технические названия не искажены, но действия и объяснения рядом с ними переведены; сырых ключей вида `plans.saved` нет.</t>
        </is>
      </c>
      <c r="H12" s="21" t="inlineStr">
        <is>
          <t>High</t>
        </is>
      </c>
      <c r="I12" s="3" t="inlineStr">
        <is>
          <t>Not Run</t>
        </is>
      </c>
      <c r="J12" s="2" t="inlineStr">
        <is>
          <t>web|positive</t>
        </is>
      </c>
    </row>
    <row r="13" ht="109.6" customHeight="1">
      <c r="A13" s="3" t="inlineStr">
        <is>
          <t>TC-264</t>
        </is>
      </c>
      <c r="B13" s="2" t="inlineStr">
        <is>
          <t>Web/API — Локализация</t>
        </is>
      </c>
      <c r="C13" s="2" t="inlineStr">
        <is>
          <t>Русский / Узбекский / Форматы</t>
        </is>
      </c>
      <c r="D13" s="2" t="inlineStr">
        <is>
          <t>«Рабочее время» и «Посещаемость» переводятся без потери данных
На экранах смен много подписей, дней недели и динамических строк с временем. Переключение не должно менять сами расчёты.</t>
        </is>
      </c>
      <c r="E13" s="2" t="inlineStr">
        <is>
          <t>У тестового оператора есть смена и хотя бы один перерыв. РОП видит эту смену.</t>
        </is>
      </c>
      <c r="F13" s="2" t="inlineStr">
        <is>
          <t>1. Под оператором открой «Рабочее время» на русском и запиши итог работы и перерывов.
2. Переключи на узбекский и проверь заголовок `Ish vaqti`, статус, кнопки, дни недели и таблицу.
3. Под РОП открой «Посещаемость», затем переключи на узбекский `Davomat`.
4. Сравни числа, даты и строки одной смены до и после.</t>
        </is>
      </c>
      <c r="G13" s="2" t="inlineStr">
        <is>
          <t>Все подписи и дни недели переведены. Время начала, конца, длительности, число перерывов и выбранная неделя не меняются из-за переключения языка.</t>
        </is>
      </c>
      <c r="H13" s="21" t="inlineStr">
        <is>
          <t>High</t>
        </is>
      </c>
      <c r="I13" s="3" t="inlineStr">
        <is>
          <t>Not Run</t>
        </is>
      </c>
      <c r="J13" s="2" t="inlineStr">
        <is>
          <t>web|positive</t>
        </is>
      </c>
    </row>
    <row r="14" ht="109.6" customHeight="1">
      <c r="A14" s="3" t="inlineStr">
        <is>
          <t>TC-265</t>
        </is>
      </c>
      <c r="B14" s="2" t="inlineStr">
        <is>
          <t>Web/API — Локализация</t>
        </is>
      </c>
      <c r="C14" s="2" t="inlineStr">
        <is>
          <t>Русский / Узбекский / Форматы</t>
        </is>
      </c>
      <c r="D14" s="2" t="inlineStr">
        <is>
          <t>Ошибки сервера показываются на языке интерфейса
Бэкенд возвращает часть сообщений на узбекском. Русский интерфейс должен переводить их в понятную пользовательскую ошибку, а не выводить ответ сервера как есть.</t>
        </is>
      </c>
      <c r="E14" s="2" t="inlineStr">
        <is>
          <t>Оператор открыл смену и начал перерыв. Интерфейс выбран русский.</t>
        </is>
      </c>
      <c r="F14" s="2" t="inlineStr">
        <is>
          <t>1. Во время активного перерыва нажми «Завершить смену».
2. Прочитай сообщение об ошибке.
3. Через Postman на русском сеансе вызови ещё один безопасный конфликт — попытку начать перерыв без открытой смены у отдельного тестового оператора.
4. Переключи интерфейс на узбекский и повтори допустимый тест ошибки.</t>
        </is>
      </c>
      <c r="G14" s="2" t="inlineStr">
        <is>
          <t>Русский интерфейс объясняет по-русски, что сначала надо завершить перерыв или открыть смену; узбекский — по-узбекски. Пользователь не видит сырой JSON и узбекскую строку `smenani yopishdan oldin...` в русском режиме.</t>
        </is>
      </c>
      <c r="H14" s="21" t="inlineStr">
        <is>
          <t>High</t>
        </is>
      </c>
      <c r="I14" s="3" t="inlineStr">
        <is>
          <t>Not Run</t>
        </is>
      </c>
      <c r="J14" s="2" t="inlineStr">
        <is>
          <t>web|api|negative</t>
        </is>
      </c>
    </row>
    <row r="15" ht="96.39999999999999" customHeight="1">
      <c r="A15" s="3" t="inlineStr">
        <is>
          <t>TC-266</t>
        </is>
      </c>
      <c r="B15" s="2" t="inlineStr">
        <is>
          <t>Web/API — Локализация</t>
        </is>
      </c>
      <c r="C15" s="2" t="inlineStr">
        <is>
          <t>Русский / Узбекский / Форматы</t>
        </is>
      </c>
      <c r="D15" s="2" t="inlineStr">
        <is>
          <t>Заголовок вкладки браузера следует выбранному языку
Название вкладки помогает найти страницу среди многих открытых. В коде часть metadata захардкожена на узбекском и может не обновляться при переключении.</t>
        </is>
      </c>
      <c r="E15" s="2" t="inlineStr">
        <is>
          <t>Открыт кабинет на русском.</t>
        </is>
      </c>
      <c r="F15" s="2" t="inlineStr">
        <is>
          <t>1. По очереди открой «Тарифы», «Лиды», «Рабочее время», «Посещаемость» и «Звонки» в новых вкладках.
2. Для каждой прочитай название вкладки браузера.
3. Переключи одну вкладку на узбекский и перейди между разделами.
4. Сравни видимый заголовок страницы и название вкладки.</t>
        </is>
      </c>
      <c r="G15" s="2" t="inlineStr">
        <is>
          <t>На русском названия вкладок русские, на узбекском — узбекские, и соответствуют открытому разделу. Не остаются `Tariflar`, `Lidlar`, `Ish vaqti`, `Davomat` в русской версии или `Sign in | Jwt` на странице входа.</t>
        </is>
      </c>
      <c r="H15" s="22" t="inlineStr">
        <is>
          <t>Medium</t>
        </is>
      </c>
      <c r="I15" s="3" t="inlineStr">
        <is>
          <t>Not Run</t>
        </is>
      </c>
      <c r="J15" s="2" t="inlineStr">
        <is>
          <t>web|negative</t>
        </is>
      </c>
    </row>
    <row r="16" ht="96.39999999999999" customHeight="1">
      <c r="A16" s="3" t="inlineStr">
        <is>
          <t>TC-267</t>
        </is>
      </c>
      <c r="B16" s="2" t="inlineStr">
        <is>
          <t>Web/API — Локализация</t>
        </is>
      </c>
      <c r="C16" s="2" t="inlineStr">
        <is>
          <t>Русский / Узбекский / Форматы</t>
        </is>
      </c>
      <c r="D16" s="2" t="inlineStr">
        <is>
          <t>Формат дат, времени и чисел соответствует языку
Перевод текста без локального формата оставляет ощущение смешанного интерфейса. Проверяем даты лидов, время смен и цену тарифа.</t>
        </is>
      </c>
      <c r="E16" s="2" t="inlineStr">
        <is>
          <t>Есть лид с датой, смена с известным временем и тариф с ценой 1234567.</t>
        </is>
      </c>
      <c r="F16" s="2" t="inlineStr">
        <is>
          <t>1. На русском открой карточку лида, «Посещаемость» и карточку тарифа.
2. Запиши показ дат, времени и цены.
3. Переключи на узбекский и сравни те же значения.
4. Убедись, что момент времени и сумма не изменились, меняется только локальное оформление.</t>
        </is>
      </c>
      <c r="G16" s="2" t="inlineStr">
        <is>
          <t>Русская версия использует русский формат, узбекская — узбекский. Часовой пояс остаётся Ташкент, дата не сдвигается на день, цена не округляется и не получает двойную валюту.</t>
        </is>
      </c>
      <c r="H16" s="22" t="inlineStr">
        <is>
          <t>Medium</t>
        </is>
      </c>
      <c r="I16" s="3" t="inlineStr">
        <is>
          <t>Not Run</t>
        </is>
      </c>
      <c r="J16" s="2" t="inlineStr">
        <is>
          <t>web|boundary</t>
        </is>
      </c>
    </row>
    <row r="17" ht="149.2" customHeight="1">
      <c r="A17" s="3" t="inlineStr">
        <is>
          <t>TC-268</t>
        </is>
      </c>
      <c r="B17" s="2" t="inlineStr">
        <is>
          <t>Web/API — Локализация</t>
        </is>
      </c>
      <c r="C17" s="2" t="inlineStr">
        <is>
          <t>Русский / Узбекский / Форматы</t>
        </is>
      </c>
      <c r="D17" s="2" t="inlineStr">
        <is>
          <t>На основных экранах нет сырых ключей и непереведённых служебных строк
Вместо перевода приложение иногда может показать `nav.calls`, `undefined` или захардкоженную строку. Проверяем все модули одним обзорным проходом.</t>
        </is>
      </c>
      <c r="E17" s="2" t="inlineStr">
        <is>
          <t>Есть доступ к разделам всех трёх ролей и тестовые данные, чтобы экраны не были пустыми.</t>
        </is>
      </c>
      <c r="F17" s="2" t="inlineStr">
        <is>
          <t>1. На русском пройди страницы входа, РОПы, Лиды, Тарифы, Правила, Операторы, Очередь, Критерии, Посещаемость, Рабочий стол, Режим звонков, Звонки и Рабочее время.
2. На каждой открой хотя бы одно диалоговое окно и вызови безопасную ошибку.
3. Ищи точки в ключах (`nav.`, `plans.`, `validation.`), `undefined`, `null` и узбекские служебные фразы.
4. Повтори краткий проход на узбекском, ища русские служебные фразы.</t>
        </is>
      </c>
      <c r="G17" s="2" t="inlineStr">
        <is>
          <t>Сырых ключей, `undefined`, `null` и смешанных служебных строк нет. Имена клиентов, операторов, воронок и статусов не считаются ошибкой перевода — это пользовательские данные.</t>
        </is>
      </c>
      <c r="H17" s="21" t="inlineStr">
        <is>
          <t>High</t>
        </is>
      </c>
      <c r="I17" s="3" t="inlineStr">
        <is>
          <t>Not Run</t>
        </is>
      </c>
      <c r="J17" s="2" t="inlineStr">
        <is>
          <t>web|negative</t>
        </is>
      </c>
    </row>
    <row r="18" ht="136" customHeight="1">
      <c r="A18" s="3" t="inlineStr">
        <is>
          <t>TC-269</t>
        </is>
      </c>
      <c r="B18" s="2" t="inlineStr">
        <is>
          <t>Web/API — Локализация</t>
        </is>
      </c>
      <c r="C18" s="2" t="inlineStr">
        <is>
          <t>Русский / Узбекский / Форматы</t>
        </is>
      </c>
      <c r="D18" s="2" t="inlineStr">
        <is>
          <t>Пользовательские данные не переводятся и не повреждаются
Название компании, имя, комментарий и статус из AmoCRM — данные клиента, а не подписи интерфейса. Переключение языка не должно их менять.</t>
        </is>
      </c>
      <c r="E18" s="2" t="inlineStr">
        <is>
          <t>Созданы тестовые данные с русскими, узбекскими и латинскими символами, апострофами и эмодзи.</t>
        </is>
      </c>
      <c r="F18" s="2" t="inlineStr">
        <is>
          <t>1. На русском открой карточки компании, оператора, лида и звонка.
2. Скопируй контрольные значения в локальную заметку без секретов.
3. Переключи на узбекский и снова открой те же карточки.
4. Сравни каждый символ и порядок вариантов в пользовательских полях.
5. Верни русский и убедись, что данные не были повторно сохранены.</t>
        </is>
      </c>
      <c r="G18" s="2" t="inlineStr">
        <is>
          <t>Пользовательские данные совпадают посимвольно, апострофы и Unicode сохранены. Переводятся только подписи, а переключение не отправляет PATCH и не меняет AmoCRM.</t>
        </is>
      </c>
      <c r="H18" s="20" t="inlineStr">
        <is>
          <t>Critical</t>
        </is>
      </c>
      <c r="I18" s="3" t="inlineStr">
        <is>
          <t>Not Run</t>
        </is>
      </c>
      <c r="J18" s="2" t="inlineStr">
        <is>
          <t>web|boundary</t>
        </is>
      </c>
    </row>
    <row r="19" ht="96.39999999999999" customHeight="1">
      <c r="A19" s="3" t="inlineStr">
        <is>
          <t>TC-270</t>
        </is>
      </c>
      <c r="B19" s="2" t="inlineStr">
        <is>
          <t>Web/API — Локализация</t>
        </is>
      </c>
      <c r="C19" s="2" t="inlineStr">
        <is>
          <t>Русский / Узбекский / Форматы</t>
        </is>
      </c>
      <c r="D19" s="2" t="inlineStr">
        <is>
          <t>Переключатель языка работает при временной потере сети
Переводы встроены в приложение. После первой загрузки переключение не должно зависеть от нового ответа сервера или сбрасывать открытую форму.</t>
        </is>
      </c>
      <c r="E19" s="2" t="inlineStr">
        <is>
          <t>Кабинет и оба набора переводов уже загружены. Открыта форма с несохранённым тестовым текстом.</t>
        </is>
      </c>
      <c r="F19" s="2" t="inlineStr">
        <is>
          <t>1. В инструментах браузера включи Offline.
2. Переключи язык с русского на узбекский.
3. Проверь форму, меню и введённый текст.
4. Верни сеть и переключи обратно.
5. Убедись, что не появилось сообщение об успешном сохранении данных.</t>
        </is>
      </c>
      <c r="G19" s="2" t="inlineStr">
        <is>
          <t>Локальные подписи переключаются без сети, введённый текст остаётся. Ошибка сети не маскируется как сохранение; после восстановления кабинет продолжает работать.</t>
        </is>
      </c>
      <c r="H19" s="22" t="inlineStr">
        <is>
          <t>Medium</t>
        </is>
      </c>
      <c r="I19" s="3" t="inlineStr">
        <is>
          <t>Not Run</t>
        </is>
      </c>
      <c r="J19" s="2" t="inlineStr">
        <is>
          <t>web|negative</t>
        </is>
      </c>
    </row>
    <row r="20" ht="109.6" customHeight="1">
      <c r="A20" s="3" t="inlineStr">
        <is>
          <t>TC-271</t>
        </is>
      </c>
      <c r="B20" s="2" t="inlineStr">
        <is>
          <t>Web/API — Локализация</t>
        </is>
      </c>
      <c r="C20" s="2" t="inlineStr">
        <is>
          <t>Русский / Узбекский / Форматы</t>
        </is>
      </c>
      <c r="D20" s="2" t="inlineStr">
        <is>
          <t>Русские и узбекские подписи помещаются на мобильном экране
Русские слова часто длиннее узбекских. Проверяем, что кнопки и таблицы остаются читаемыми при ширине телефона и увеличенном тексте.</t>
        </is>
      </c>
      <c r="E20" s="2" t="inlineStr">
        <is>
          <t>Браузер открыт в режиме мобильного устройства шириной около 360 пикселей.</t>
        </is>
      </c>
      <c r="F20" s="2" t="inlineStr">
        <is>
          <t>1. На русском открой страницу входа, меню, создание оператора, тарифы и «Рабочее время».
2. Увеличь масштаб браузера до 200%.
3. Проверь кнопки, подписи полей, сообщения ошибок и горизонтальную прокрутку таблиц.
4. Повтори на узбекском.
5. Попробуй открыть и закрыть переключатель языка с клавиатуры или касанием.</t>
        </is>
      </c>
      <c r="G20" s="2" t="inlineStr">
        <is>
          <t>Текст не обрезан так, что смысл теряется; кнопки доступны, элементы не накладываются и страницу можно прокрутить. Переключатель языка не уходит за экран.</t>
        </is>
      </c>
      <c r="H20" s="22" t="inlineStr">
        <is>
          <t>Medium</t>
        </is>
      </c>
      <c r="I20" s="3" t="inlineStr">
        <is>
          <t>Not Run</t>
        </is>
      </c>
      <c r="J20" s="2" t="inlineStr">
        <is>
          <t>web|boundary</t>
        </is>
      </c>
    </row>
    <row r="21" ht="96.39999999999999" customHeight="1">
      <c r="A21" s="3" t="inlineStr">
        <is>
          <t>TC-272</t>
        </is>
      </c>
      <c r="B21" s="2" t="inlineStr">
        <is>
          <t>Web/API — Локализация</t>
        </is>
      </c>
      <c r="C21" s="2" t="inlineStr">
        <is>
          <t>Русский / Узбекский / Форматы</t>
        </is>
      </c>
      <c r="D21" s="2" t="inlineStr">
        <is>
          <t>Смена языка не повторяет запрос и не сбрасывает рабочее действие
Перевод — только изменение отображения. Он не должен повторно звонить, создавать пользователя, отправлять форму или менять состояние смены.</t>
        </is>
      </c>
      <c r="E21" s="2" t="inlineStr">
        <is>
          <t>Открыт один безопасный незавершённый процесс: форма создания, активная смена или подготовленная форма подтверждения звонка.</t>
        </is>
      </c>
      <c r="F21" s="2" t="inlineStr">
        <is>
          <t>1. В инструментах браузера открой вкладку Network и очисти список.
2. Переключи язык на другой.
3. Проверь состояние формы или смены.
4. Посмотри, какие запросы изменения данных (POST/PATCH/DELETE) были отправлены.
5. Переключи язык обратно и повтори проверку.</t>
        </is>
      </c>
      <c r="G21" s="2" t="inlineStr">
        <is>
          <t>Переключение не отправляет запросов изменения данных и не повторяет последнее действие. Активная смена, звонок, выбранный лид и введённые поля сохраняются.</t>
        </is>
      </c>
      <c r="H21" s="20" t="inlineStr">
        <is>
          <t>Critical</t>
        </is>
      </c>
      <c r="I21" s="3" t="inlineStr">
        <is>
          <t>Not Run</t>
        </is>
      </c>
      <c r="J21" s="2" t="inlineStr">
        <is>
          <t>web|api|negative</t>
        </is>
      </c>
    </row>
  </sheetData>
  <autoFilter ref="A1:J21"/>
  <conditionalFormatting sqref="I2:I5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1" showDropDown="0" showInputMessage="0" showErrorMessage="0" allowBlank="1" errorTitle="Недопустимое значение" error="Выбери значение из списка: Critical, High, Medium, Low" type="list">
      <formula1>"Critical,High,Medium,Low"</formula1>
    </dataValidation>
    <dataValidation sqref="I2:I5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TC-273</t>
        </is>
      </c>
      <c r="B2" s="2" t="inlineStr">
        <is>
          <t>Web/API — Смены и посещаемость</t>
        </is>
      </c>
      <c r="C2" s="2" t="inlineStr">
        <is>
          <t>Рабочее время / Посещаемость</t>
        </is>
      </c>
      <c r="D2" s="2" t="inlineStr">
        <is>
          <t>Оператор начинает смену
Проверяем основной путь учёта рабочего дня: оператор сам открывает одну смену на текущую дату по времени Ташкента.</t>
        </is>
      </c>
      <c r="E2" s="2" t="inlineStr">
        <is>
          <t>Выполнен вход под активным оператором. Сегодня у него ещё нет записи смены.</t>
        </is>
      </c>
      <c r="F2" s="2" t="inlineStr">
        <is>
          <t>1. В меню открой «Рабочее время» (uz: `Ish vaqti`).
2. Убедись, что статус — «Не работает» и написано «Смена сегодня не открыта».
3. Нажми «Начать смену» (uz: `Smenani boshlash`).
4. Подожди несколько секунд.
5. Проверь статус, таймер и блок «Сегодняшняя сессия».</t>
        </is>
      </c>
      <c r="G2" s="2" t="inlineStr">
        <is>
          <t>Статус меняется на «Работает», таймер начинает расти каждую секунду. В истории одна строка «работа начата» с текущим временем Ташкента; появляется кнопка «Перерыв».</t>
        </is>
      </c>
      <c r="H2" s="20" t="inlineStr">
        <is>
          <t>Critical</t>
        </is>
      </c>
      <c r="I2" s="3" t="inlineStr">
        <is>
          <t>Not Run</t>
        </is>
      </c>
      <c r="J2" s="2" t="inlineStr">
        <is>
          <t>web|positive</t>
        </is>
      </c>
    </row>
    <row r="3" ht="96.39999999999999" customHeight="1">
      <c r="A3" s="3" t="inlineStr">
        <is>
          <t>TC-274</t>
        </is>
      </c>
      <c r="B3" s="2" t="inlineStr">
        <is>
          <t>Web/API — Смены и посещаемость</t>
        </is>
      </c>
      <c r="C3" s="2" t="inlineStr">
        <is>
          <t>/v1/operator-work/weekly</t>
        </is>
      </c>
      <c r="D3" s="2" t="inlineStr">
        <is>
          <t>Двойное нажатие «Начать смену» не создаёт две записи
Для оператора и даты разрешена одна запись. Быстрый повтор не должен сразу закрыть только что открытую смену или создать дубль.</t>
        </is>
      </c>
      <c r="E3" s="2" t="inlineStr">
        <is>
          <t>Сегодня у тестового оператора нет смены. Открыт экран «Рабочее время».</t>
        </is>
      </c>
      <c r="F3" s="2" t="inlineStr">
        <is>
          <t>1. Быстро дважды нажми «Начать смену».
2. Дождись обновления экрана.
3. Запроси GET `/v1/operator-work/weekly` с токеном оператора.
4. Найди элементы с сегодняшней датой.
5. Проверь, что смена остаётся открытой.</t>
        </is>
      </c>
      <c r="G3" s="2" t="inlineStr">
        <is>
          <t>Кнопка блокируется на время запроса. Существует ровно одна открытая смена с одним временем начала; второй щелчок не закрыл её и не вернул ошибку пользователю.</t>
        </is>
      </c>
      <c r="H3" s="20" t="inlineStr">
        <is>
          <t>Critical</t>
        </is>
      </c>
      <c r="I3" s="3" t="inlineStr">
        <is>
          <t>Not Run</t>
        </is>
      </c>
      <c r="J3" s="2" t="inlineStr">
        <is>
          <t>web|api|negative</t>
        </is>
      </c>
    </row>
    <row r="4" ht="96.39999999999999" customHeight="1">
      <c r="A4" s="3" t="inlineStr">
        <is>
          <t>TC-275</t>
        </is>
      </c>
      <c r="B4" s="2" t="inlineStr">
        <is>
          <t>Web/API — Смены и посещаемость</t>
        </is>
      </c>
      <c r="C4" s="2" t="inlineStr">
        <is>
          <t>Рабочее время / Посещаемость</t>
        </is>
      </c>
      <c r="D4" s="2" t="inlineStr">
        <is>
          <t>Открытая смена сохраняется после обновления и нового входа
Состояние хранится на сервере, а не только во вкладке. Таймер после перезагрузки должен продолжить фактическую длительность.</t>
        </is>
      </c>
      <c r="E4" s="2" t="inlineStr">
        <is>
          <t>Оператор открыл смену не менее минуты назад.</t>
        </is>
      </c>
      <c r="F4" s="2" t="inlineStr">
        <is>
          <t>1. Запиши показанный таймер.
2. Обнови страницу и сравни таймер.
3. Перейди в другой раздел и вернись в «Рабочее время».
4. Выйди и снова войди под тем же оператором.
5. Снова открой «Рабочее время».</t>
        </is>
      </c>
      <c r="G4" s="2" t="inlineStr">
        <is>
          <t>Смена остаётся открытой, время начала неизменно. Таймер продолжает расти от серверного времени и не начинает заново с нуля после обновления или входа.</t>
        </is>
      </c>
      <c r="H4" s="21" t="inlineStr">
        <is>
          <t>High</t>
        </is>
      </c>
      <c r="I4" s="3" t="inlineStr">
        <is>
          <t>Not Run</t>
        </is>
      </c>
      <c r="J4" s="2" t="inlineStr">
        <is>
          <t>web|positive</t>
        </is>
      </c>
    </row>
    <row r="5" ht="83.19999999999999" customHeight="1">
      <c r="A5" s="3" t="inlineStr">
        <is>
          <t>TC-276</t>
        </is>
      </c>
      <c r="B5" s="2" t="inlineStr">
        <is>
          <t>Web/API — Смены и посещаемость</t>
        </is>
      </c>
      <c r="C5" s="2" t="inlineStr">
        <is>
          <t>Рабочее время / Посещаемость</t>
        </is>
      </c>
      <c r="D5" s="2" t="inlineStr">
        <is>
          <t>Оператор начинает перерыв в открытой смене
Ручной перерыв приостанавливает рабочее время и отмечается отдельным интервалом.</t>
        </is>
      </c>
      <c r="E5" s="2" t="inlineStr">
        <is>
          <t>У оператора открыта смена, активного перерыва нет.</t>
        </is>
      </c>
      <c r="F5" s="2" t="inlineStr">
        <is>
          <t>1. Запиши рабочий таймер.
2. Нажми «Перерыв» (uz: `Tanaffus`).
3. Подожди 10 секунд.
4. Проверь статус, главную кнопку перерыва, таймер и блок сегодняшней сессии.</t>
        </is>
      </c>
      <c r="G5" s="2" t="inlineStr">
        <is>
          <t>Статус — «На перерыве», кнопка меняется на «Завершить перерыв». Рабочий таймер практически не растёт, в истории появился открытый перерыв с временем начала.</t>
        </is>
      </c>
      <c r="H5" s="20" t="inlineStr">
        <is>
          <t>Critical</t>
        </is>
      </c>
      <c r="I5" s="3" t="inlineStr">
        <is>
          <t>Not Run</t>
        </is>
      </c>
      <c r="J5" s="2" t="inlineStr">
        <is>
          <t>web|positive</t>
        </is>
      </c>
    </row>
    <row r="6" ht="96.39999999999999" customHeight="1">
      <c r="A6" s="3" t="inlineStr">
        <is>
          <t>TC-277</t>
        </is>
      </c>
      <c r="B6" s="2" t="inlineStr">
        <is>
          <t>Web/API — Смены и посещаемость</t>
        </is>
      </c>
      <c r="C6" s="2" t="inlineStr">
        <is>
          <t>Рабочее время / Посещаемость</t>
        </is>
      </c>
      <c r="D6" s="2" t="inlineStr">
        <is>
          <t>Завершение перерыва учитывает длительность и количество
После возврата система добавляет длительность перерыва в итог и увеличивает счётчик завершённых перерывов.</t>
        </is>
      </c>
      <c r="E6" s="2" t="inlineStr">
        <is>
          <t>У оператора идёт перерыв не менее одной минуты.</t>
        </is>
      </c>
      <c r="F6" s="2" t="inlineStr">
        <is>
          <t>1. Запиши время начала перерыва и текущий счётчик.
2. Нажми «Завершить перерыв».
3. Проверь статус и рабочий таймер.
4. Проверь строку перерыва в «Сегодняшней сессии».
5. Обнови страницу и запроси недельную сводку.</t>
        </is>
      </c>
      <c r="G6" s="2" t="inlineStr">
        <is>
          <t>Статус снова «Работает», рабочий таймер продолжает расти. У перерыва есть конец, счётчик увеличен на один, длительность близка фактической и сохраняется после обновления.</t>
        </is>
      </c>
      <c r="H6" s="20" t="inlineStr">
        <is>
          <t>Critical</t>
        </is>
      </c>
      <c r="I6" s="3" t="inlineStr">
        <is>
          <t>Not Run</t>
        </is>
      </c>
      <c r="J6" s="2" t="inlineStr">
        <is>
          <t>web|api|positive</t>
        </is>
      </c>
    </row>
    <row r="7" ht="96.39999999999999" customHeight="1">
      <c r="A7" s="3" t="inlineStr">
        <is>
          <t>TC-278</t>
        </is>
      </c>
      <c r="B7" s="2" t="inlineStr">
        <is>
          <t>Web/API — Смены и посещаемость</t>
        </is>
      </c>
      <c r="C7" s="2" t="inlineStr">
        <is>
          <t>Рабочее время / Посещаемость</t>
        </is>
      </c>
      <c r="D7" s="2" t="inlineStr">
        <is>
          <t>Несколько перерывов суммируются без потери первого
В одной смене может быть несколько перерывов. Каждый интервал хранится отдельно, а общий итог равен их сумме.</t>
        </is>
      </c>
      <c r="E7" s="2" t="inlineStr">
        <is>
          <t>Открыта смена, один завершённый перерыв уже есть.</t>
        </is>
      </c>
      <c r="F7" s="2" t="inlineStr">
        <is>
          <t>1. Начни второй перерыв, подожди заметный интервал и заверши его.
2. Повтори для третьего короткого перерыва.
3. Посчитай строки в «Сегодняшней сессии».
4. Сравни «Количество перерывов» и «Всего перерывов» с отдельными интервалами.
5. Обнови страницу.</t>
        </is>
      </c>
      <c r="G7" s="2" t="inlineStr">
        <is>
          <t>Показаны все завершённые интервалы в хронологическом порядке. Счётчик равен их количеству, общая длительность равна сумме с допустимым округлением в несколько секунд.</t>
        </is>
      </c>
      <c r="H7" s="21" t="inlineStr">
        <is>
          <t>High</t>
        </is>
      </c>
      <c r="I7" s="3" t="inlineStr">
        <is>
          <t>Not Run</t>
        </is>
      </c>
      <c r="J7" s="2" t="inlineStr">
        <is>
          <t>web|boundary</t>
        </is>
      </c>
    </row>
    <row r="8" ht="83.19999999999999" customHeight="1">
      <c r="A8" s="3" t="inlineStr">
        <is>
          <t>TC-279</t>
        </is>
      </c>
      <c r="B8" s="2" t="inlineStr">
        <is>
          <t>Web/API — Смены и посещаемость</t>
        </is>
      </c>
      <c r="C8" s="2" t="inlineStr">
        <is>
          <t>/v1/operator-work/break · /v1/operator-work/weekly</t>
        </is>
      </c>
      <c r="D8" s="2" t="inlineStr">
        <is>
          <t>Перерыв нельзя начать без открытой смены
Интерфейс скрывает кнопку, но сервер тоже обязан отклонить прямой запрос.</t>
        </is>
      </c>
      <c r="E8" s="2" t="inlineStr">
        <is>
          <t>У отдельного тестового оператора сегодня нет смены. Есть его токен.</t>
        </is>
      </c>
      <c r="F8" s="2" t="inlineStr">
        <is>
          <t>1. Открой «Рабочее время» и убедись, что кнопки «Перерыв» нет.
2. В Postman с токеном оператора отправь POST `/v1/operator-work/break`.
3. Проверь код и сообщение.
4. Запроси GET `/v1/operator-work/weekly`.</t>
        </is>
      </c>
      <c r="G8" s="2" t="inlineStr">
        <is>
          <t>Сервер возвращает 409 и понятно сообщает, что смена не открыта. Смена или перерыв автоматически не создаются.</t>
        </is>
      </c>
      <c r="H8" s="21" t="inlineStr">
        <is>
          <t>High</t>
        </is>
      </c>
      <c r="I8" s="3" t="inlineStr">
        <is>
          <t>Not Run</t>
        </is>
      </c>
      <c r="J8" s="2" t="inlineStr">
        <is>
          <t>web|api|negative</t>
        </is>
      </c>
    </row>
    <row r="9" ht="83.19999999999999" customHeight="1">
      <c r="A9" s="3" t="inlineStr">
        <is>
          <t>TC-280</t>
        </is>
      </c>
      <c r="B9" s="2" t="inlineStr">
        <is>
          <t>Web/API — Смены и посещаемость</t>
        </is>
      </c>
      <c r="C9" s="2" t="inlineStr">
        <is>
          <t>Рабочее время / Посещаемость</t>
        </is>
      </c>
      <c r="D9" s="2" t="inlineStr">
        <is>
          <t>Смену нельзя завершить во время активного перерыва
Сначала нужно закрыть интервал перерыва, иначе расчёт времени станет неоднозначным.</t>
        </is>
      </c>
      <c r="E9" s="2" t="inlineStr">
        <is>
          <t>У оператора открыта смена и идёт активный перерыв.</t>
        </is>
      </c>
      <c r="F9" s="2" t="inlineStr">
        <is>
          <t>1. Нажми «Завершить смену».
2. Прочитай сообщение об ошибке.
3. Обнови страницу.
4. Проверь, что смена и перерыв всё ещё активны.
5. Заверши перерыв и только затем заверши смену.</t>
        </is>
      </c>
      <c r="G9" s="2" t="inlineStr">
        <is>
          <t>Первая попытка возвращает понятный конфликт и ничего не закрывает. После завершения перерыва смена закрывается обычным способом; длительность перерыва не потеряна.</t>
        </is>
      </c>
      <c r="H9" s="20" t="inlineStr">
        <is>
          <t>Critical</t>
        </is>
      </c>
      <c r="I9" s="3" t="inlineStr">
        <is>
          <t>Not Run</t>
        </is>
      </c>
      <c r="J9" s="2" t="inlineStr">
        <is>
          <t>web|negative</t>
        </is>
      </c>
    </row>
    <row r="10" ht="83.19999999999999" customHeight="1">
      <c r="A10" s="3" t="inlineStr">
        <is>
          <t>TC-281</t>
        </is>
      </c>
      <c r="B10" s="2" t="inlineStr">
        <is>
          <t>Web/API — Смены и посещаемость</t>
        </is>
      </c>
      <c r="C10" s="2" t="inlineStr">
        <is>
          <t>Рабочее время / Посещаемость</t>
        </is>
      </c>
      <c r="D10" s="2" t="inlineStr">
        <is>
          <t>Оператор завершает смену после работы и перерывов
Закрытие фиксирует время конца и окончательные длительности, которые больше не растут.</t>
        </is>
      </c>
      <c r="E10" s="2" t="inlineStr">
        <is>
          <t>У оператора открыта смена, активного перерыва нет, есть хотя бы один завершённый перерыв.</t>
        </is>
      </c>
      <c r="F10" s="2" t="inlineStr">
        <is>
          <t>1. Запиши рабочий таймер и сумму перерывов.
2. Нажми «Завершить смену».
3. Проверь статус и историю сегодняшней сессии.
4. Подожди 10 секунд и сравни итог работы.
5. Обнови страницу и проверь недельную таблицу.</t>
        </is>
      </c>
      <c r="G10" s="2" t="inlineStr">
        <is>
          <t>Статус становится «Не работает», в истории есть время завершения. Рабочая длительность и перерывы перестают расти и после обновления совпадают с итогом смены.</t>
        </is>
      </c>
      <c r="H10" s="20" t="inlineStr">
        <is>
          <t>Critical</t>
        </is>
      </c>
      <c r="I10" s="3" t="inlineStr">
        <is>
          <t>Not Run</t>
        </is>
      </c>
      <c r="J10" s="2" t="inlineStr">
        <is>
          <t>web|positive</t>
        </is>
      </c>
    </row>
    <row r="11" ht="96.39999999999999" customHeight="1">
      <c r="A11" s="3" t="inlineStr">
        <is>
          <t>TC-282</t>
        </is>
      </c>
      <c r="B11" s="2" t="inlineStr">
        <is>
          <t>Web/API — Смены и посещаемость</t>
        </is>
      </c>
      <c r="C11" s="2" t="inlineStr">
        <is>
          <t>Рабочее время / Посещаемость</t>
        </is>
      </c>
      <c r="D11" s="2" t="inlineStr">
        <is>
          <t>Закрытую сегодня смену нельзя открыть повторно
На оператора и дату разрешена одна смена. Экран должен ясно показать, что рабочий день завершён, а не предлагать действие, которое сервер всё равно отклонит.</t>
        </is>
      </c>
      <c r="E11" s="2" t="inlineStr">
        <is>
          <t>Тестовый оператор уже завершил сегодняшнюю смену.</t>
        </is>
      </c>
      <c r="F11" s="2" t="inlineStr">
        <is>
          <t>1. Обнови «Рабочее время».
2. Проверь статус, итог и главную кнопку.
3. Если доступна «Начать смену», нажми её один раз.
4. Проверь сообщение и недельную сводку.</t>
        </is>
      </c>
      <c r="G11" s="2" t="inlineStr">
        <is>
          <t>Смена остаётся закрытой и второй записи нет. Экран сообщает, что смена за сегодня завершена, и не предлагает вводящую в заблуждение активную кнопку. Прямой повтор получает 409, но не портит итог.</t>
        </is>
      </c>
      <c r="H11" s="21" t="inlineStr">
        <is>
          <t>High</t>
        </is>
      </c>
      <c r="I11" s="3" t="inlineStr">
        <is>
          <t>Not Run</t>
        </is>
      </c>
      <c r="J11" s="2" t="inlineStr">
        <is>
          <t>web|negative</t>
        </is>
      </c>
    </row>
    <row r="12" ht="83.19999999999999" customHeight="1">
      <c r="A12" s="3" t="inlineStr">
        <is>
          <t>TC-283</t>
        </is>
      </c>
      <c r="B12" s="2" t="inlineStr">
        <is>
          <t>Web/API — Смены и посещаемость</t>
        </is>
      </c>
      <c r="C12" s="2" t="inlineStr">
        <is>
          <t>Рабочее время / Посещаемость</t>
        </is>
      </c>
      <c r="D12" s="2" t="inlineStr">
        <is>
          <t>Потеря сети при открытии смены не создаёт неопределённое состояние
Если ответ потерялся, после восстановления оператор должен понять, открылась смена или нет, и безопасно продолжить.</t>
        </is>
      </c>
      <c r="E12" s="2" t="inlineStr">
        <is>
          <t>Сегодня смены нет. Инструменты браузера позволяют включить Offline.</t>
        </is>
      </c>
      <c r="F12" s="2" t="inlineStr">
        <is>
          <t>1. Нажми «Начать смену» и сразу включи Offline.
2. Верни сеть через несколько секунд.
3. Обнови страницу и проверь текущий статус.
4. Если смены нет — нажми «Начать смену» один раз; если есть — не нажимай.
5. Через API посчитай записи за сегодня.</t>
        </is>
      </c>
      <c r="G12" s="2" t="inlineStr">
        <is>
          <t>После обновления показано серверное состояние. В итоге существует одна открытая смена или ни одной до безопасного повтора; дубля и случайного закрытия нет.</t>
        </is>
      </c>
      <c r="H12" s="20" t="inlineStr">
        <is>
          <t>Critical</t>
        </is>
      </c>
      <c r="I12" s="3" t="inlineStr">
        <is>
          <t>Not Run</t>
        </is>
      </c>
      <c r="J12" s="2" t="inlineStr">
        <is>
          <t>web|api|negative</t>
        </is>
      </c>
    </row>
    <row r="13" ht="109.6" customHeight="1">
      <c r="A13" s="3" t="inlineStr">
        <is>
          <t>TC-284</t>
        </is>
      </c>
      <c r="B13" s="2" t="inlineStr">
        <is>
          <t>Web/API — Смены и посещаемость</t>
        </is>
      </c>
      <c r="C13" s="2" t="inlineStr">
        <is>
          <t>Рабочее время / Посещаемость</t>
        </is>
      </c>
      <c r="D13" s="2" t="inlineStr">
        <is>
          <t>Потеря сети при переключении перерыва сохраняет фактическое состояние
Одна и та же кнопка начинает и завершает перерыв. При потерянном ответе слепой повтор может сделать обратное действие, поэтому экран обязан сначала синхронизироваться.</t>
        </is>
      </c>
      <c r="E13" s="2" t="inlineStr">
        <is>
          <t>Смена открыта, перерыва нет. Можно временно оборвать сеть.</t>
        </is>
      </c>
      <c r="F13" s="2" t="inlineStr">
        <is>
          <t>1. Нажми «Перерыв» и сразу включи Offline.
2. Верни сеть и обнови страницу.
3. Проверь статус и наличие открытого интервала.
4. Заверши перерыв только если он действительно активен.
5. Проверь число и длительность интервалов через недельный API.</t>
        </is>
      </c>
      <c r="G13" s="2" t="inlineStr">
        <is>
          <t>После восстановления экран показывает фактическое состояние. Создан не более одного интервала; безопасное завершение не начинает новый перерыв и не теряет время.</t>
        </is>
      </c>
      <c r="H13" s="20" t="inlineStr">
        <is>
          <t>Critical</t>
        </is>
      </c>
      <c r="I13" s="3" t="inlineStr">
        <is>
          <t>Not Run</t>
        </is>
      </c>
      <c r="J13" s="2" t="inlineStr">
        <is>
          <t>web|api|negative</t>
        </is>
      </c>
    </row>
    <row r="14" ht="96.39999999999999" customHeight="1">
      <c r="A14" s="3" t="inlineStr">
        <is>
          <t>TC-285</t>
        </is>
      </c>
      <c r="B14" s="2" t="inlineStr">
        <is>
          <t>Web/API — Смены и посещаемость</t>
        </is>
      </c>
      <c r="C14" s="2" t="inlineStr">
        <is>
          <t>Рабочее время / Посещаемость</t>
        </is>
      </c>
      <c r="D14" s="2" t="inlineStr">
        <is>
          <t>Две вкладки не переключают смену дважды
Toggle-метод меняет действие в зависимости от текущего состояния. Одновременные нажатия в двух вкладках не должны открыть и тут же закрыть смену.</t>
        </is>
      </c>
      <c r="E14" s="2" t="inlineStr">
        <is>
          <t>Один оператор вошёл в двух вкладках, сегодня смены ещё нет.</t>
        </is>
      </c>
      <c r="F14" s="2" t="inlineStr">
        <is>
          <t>1. В обеих вкладках открой «Рабочее время».
2. Почти одновременно нажми «Начать смену» в обеих.
3. Обнови обе вкладки.
4. Проверь недельный API и время закрытия.
5. Повтори похожую проверку с началом перерыва в двух вкладках.</t>
        </is>
      </c>
      <c r="G14" s="2" t="inlineStr">
        <is>
          <t>Существует одна открытая смена, которая не закрылась вторым запросом, и один активный перерыв. Обе вкладки сходятся к одному состоянию; конфликт показан безопасно.</t>
        </is>
      </c>
      <c r="H14" s="20" t="inlineStr">
        <is>
          <t>Critical</t>
        </is>
      </c>
      <c r="I14" s="3" t="inlineStr">
        <is>
          <t>Not Run</t>
        </is>
      </c>
      <c r="J14" s="2" t="inlineStr">
        <is>
          <t>web|api|boundary</t>
        </is>
      </c>
    </row>
    <row r="15" ht="109.6" customHeight="1">
      <c r="A15" s="3" t="inlineStr">
        <is>
          <t>TC-286</t>
        </is>
      </c>
      <c r="B15" s="2" t="inlineStr">
        <is>
          <t>Web/API — Смены и посещаемость</t>
        </is>
      </c>
      <c r="C15" s="2" t="inlineStr">
        <is>
          <t>Рабочее время / Посещаемость</t>
        </is>
      </c>
      <c r="D15" s="2" t="inlineStr">
        <is>
          <t>Рабочее время исключает завершённые и активный перерыв
Главная формула: от длительности смены вычитаются все перерывы. Во время активного перерыва рабочий таймер должен остановиться.</t>
        </is>
      </c>
      <c r="E15" s="2" t="inlineStr">
        <is>
          <t>Открыта новая тестовая смена. Есть возможность засечь интервалы секундомером.</t>
        </is>
      </c>
      <c r="F15" s="2" t="inlineStr">
        <is>
          <t>1. Поработай около 60 секунд и запиши таймер.
2. Начни перерыв примерно на 60 секунд и наблюдай рабочий таймер.
3. Заверши перерыв и поработай ещё около 60 секунд.
4. Заверши смену.
5. Сравни фактическую длительность смены, перерыв и показанное рабочее время.</t>
        </is>
      </c>
      <c r="G15" s="2" t="inlineStr">
        <is>
          <t>Рабочее время примерно равно общему интервалу минус перерыв, с погрешностью несколько секунд. Во время перерыва оно не растёт и никогда не становится отрицательным.</t>
        </is>
      </c>
      <c r="H15" s="20" t="inlineStr">
        <is>
          <t>Critical</t>
        </is>
      </c>
      <c r="I15" s="3" t="inlineStr">
        <is>
          <t>Not Run</t>
        </is>
      </c>
      <c r="J15" s="2" t="inlineStr">
        <is>
          <t>web|boundary</t>
        </is>
      </c>
    </row>
    <row r="16" ht="83.19999999999999" customHeight="1">
      <c r="A16" s="3" t="inlineStr">
        <is>
          <t>TC-287</t>
        </is>
      </c>
      <c r="B16" s="2" t="inlineStr">
        <is>
          <t>Web/API — Смены и посещаемость</t>
        </is>
      </c>
      <c r="C16" s="2" t="inlineStr">
        <is>
          <t>Рабочее время / Посещаемость</t>
        </is>
      </c>
      <c r="D16" s="2" t="inlineStr">
        <is>
          <t>Очень короткий перерыв не даёт отрицательных или огромных значений
Перерыв в несколько секунд проверяет округление интерфейса и порядок временных меток.</t>
        </is>
      </c>
      <c r="E16" s="2" t="inlineStr">
        <is>
          <t>Смена открыта, активного перерыва нет.</t>
        </is>
      </c>
      <c r="F16" s="2" t="inlineStr">
        <is>
          <t>1. Начни перерыв и заверши его через 2–5 секунд.
2. Проверь строку интервала и общий итог.
3. Обнови страницу.
4. Проверь API-поля `break_duration_seconds` и `break_count`.</t>
        </is>
      </c>
      <c r="G16" s="2" t="inlineStr">
        <is>
          <t>Счётчик увеличен на один, секунды неотрицательны и близки фактическим. Интерфейс может округлить подпись до одной минуты, но общий итог и API не превращаются в часы.</t>
        </is>
      </c>
      <c r="H16" s="22" t="inlineStr">
        <is>
          <t>Medium</t>
        </is>
      </c>
      <c r="I16" s="3" t="inlineStr">
        <is>
          <t>Not Run</t>
        </is>
      </c>
      <c r="J16" s="2" t="inlineStr">
        <is>
          <t>web|api|boundary</t>
        </is>
      </c>
    </row>
    <row r="17" ht="109.6" customHeight="1">
      <c r="A17" s="3" t="inlineStr">
        <is>
          <t>TC-288</t>
        </is>
      </c>
      <c r="B17" s="2" t="inlineStr">
        <is>
          <t>Web/API — Смены и посещаемость</t>
        </is>
      </c>
      <c r="C17" s="2" t="inlineStr">
        <is>
          <t>Рабочее время / Посещаемость</t>
        </is>
      </c>
      <c r="D17" s="2" t="inlineStr">
        <is>
          <t>Недельная сводка оператора охватывает понедельник–воскресенье
Текущая неделя привязана к понедельнику. В таблицу должны попасть только семь соответствующих дат и только смены самого оператора.</t>
        </is>
      </c>
      <c r="E17" s="2" t="inlineStr">
        <is>
          <t>У оператора есть тестовые смены в разные дни текущей и соседней недели.</t>
        </is>
      </c>
      <c r="F17" s="2" t="inlineStr">
        <is>
          <t>1. Под оператором открой «Рабочее время».
2. Проверь диапазон «Эта неделя» и семь столбцов диаграммы.
3. Сравни понедельник и воскресенье с календарём.
4. Сложи `Отработано` по строкам и сравни с общим итогом.
5. Через API проверь `week_start`, `week_end` и ID оператора.</t>
        </is>
      </c>
      <c r="G17" s="2" t="inlineStr">
        <is>
          <t>`week_start` — понедельник, `week_end` — воскресенье, разница шесть дней. В таблице только свои смены этого диапазона, итог равен сумме строк.</t>
        </is>
      </c>
      <c r="H17" s="21" t="inlineStr">
        <is>
          <t>High</t>
        </is>
      </c>
      <c r="I17" s="3" t="inlineStr">
        <is>
          <t>Not Run</t>
        </is>
      </c>
      <c r="J17" s="2" t="inlineStr">
        <is>
          <t>web|api|positive</t>
        </is>
      </c>
    </row>
    <row r="18" ht="122.8" customHeight="1">
      <c r="A18" s="3" t="inlineStr">
        <is>
          <t>TC-289</t>
        </is>
      </c>
      <c r="B18" s="2" t="inlineStr">
        <is>
          <t>Web/API — Смены и посещаемость</t>
        </is>
      </c>
      <c r="C18" s="2" t="inlineStr">
        <is>
          <t>Рабочее время / Посещаемость</t>
        </is>
      </c>
      <c r="D18" s="2" t="inlineStr">
        <is>
          <t>РОП листает прошлые недели, но не будущие
Стрелки на «Посещаемости» позволяют смотреть историю и не должны уходить в пустое будущее.</t>
        </is>
      </c>
      <c r="E18" s="2" t="inlineStr">
        <is>
          <t>Выполнен вход под РОП. У операторов есть записи за текущую и прошлую неделю.</t>
        </is>
      </c>
      <c r="F18" s="2" t="inlineStr">
        <is>
          <t>1. Открой «Посещаемость».
2. Запиши диапазон текущей недели.
3. Нажми стрелку назад и проверь диапазон и данные.
4. Вернись стрелкой вперёд.
5. Проверь, что на текущей неделе стрелка вперёд неактивна.
6. Быстро несколько раз нажми назад и убедись, что ответ одной недели не подменяет другую.</t>
        </is>
      </c>
      <c r="G18" s="2" t="inlineStr">
        <is>
          <t>Каждый шаг меняет диапазон ровно на семь дней. Текущая неделя не позволяет перейти в будущее; таблица и KPI соответствуют выбранному диапазону без мигания чужих данных.</t>
        </is>
      </c>
      <c r="H18" s="22" t="inlineStr">
        <is>
          <t>Medium</t>
        </is>
      </c>
      <c r="I18" s="3" t="inlineStr">
        <is>
          <t>Not Run</t>
        </is>
      </c>
      <c r="J18" s="2" t="inlineStr">
        <is>
          <t>web|boundary</t>
        </is>
      </c>
    </row>
    <row r="19" ht="109.6" customHeight="1">
      <c r="A19" s="3" t="inlineStr">
        <is>
          <t>TC-290</t>
        </is>
      </c>
      <c r="B19" s="2" t="inlineStr">
        <is>
          <t>Web/API — Смены и посещаемость</t>
        </is>
      </c>
      <c r="C19" s="2" t="inlineStr">
        <is>
          <t>Рабочее время / Посещаемость</t>
        </is>
      </c>
      <c r="D19" s="2" t="inlineStr">
        <is>
          <t>РОП видит посещаемость всех своих операторов и правильные KPI
Экран агрегирует смены компании: общее рабочее время, перерывы, число смен и уникальных операторов.</t>
        </is>
      </c>
      <c r="E19" s="2" t="inlineStr">
        <is>
          <t>У РОП есть минимум два оператора с известными сменами и перерывами в выбранной неделе.</t>
        </is>
      </c>
      <c r="F19" s="2" t="inlineStr">
        <is>
          <t>1. Открой «Посещаемость».
2. Проверь столбцы «Оператор», «Дата», «Начало», «Конец», «Отработано», «Перерыв», «Перерывы».
3. Сверь строки двух операторов с их собственными недельными экранами.
4. Вручную сложи рабочее время, перерывы и посчитай строки и уникальных людей.
5. Сравни четыре KPI сверху.</t>
        </is>
      </c>
      <c r="G19" s="2" t="inlineStr">
        <is>
          <t>Показаны все и только смены операторов этого РОП. KPI равны сумме строк, число смен — количеству строк, «Операторы» — числу уникальных сотрудников.</t>
        </is>
      </c>
      <c r="H19" s="20" t="inlineStr">
        <is>
          <t>Critical</t>
        </is>
      </c>
      <c r="I19" s="3" t="inlineStr">
        <is>
          <t>Not Run</t>
        </is>
      </c>
      <c r="J19" s="2" t="inlineStr">
        <is>
          <t>web|positive</t>
        </is>
      </c>
    </row>
    <row r="20" ht="83.19999999999999" customHeight="1">
      <c r="A20" s="3" t="inlineStr">
        <is>
          <t>TC-291</t>
        </is>
      </c>
      <c r="B20" s="2" t="inlineStr">
        <is>
          <t>Web/API — Смены и посещаемость</t>
        </is>
      </c>
      <c r="C20" s="2" t="inlineStr">
        <is>
          <t>/v1/operator-work/weekly?operator_id=ID_ОПЕРАТОРА_B</t>
        </is>
      </c>
      <c r="D20" s="2" t="inlineStr">
        <is>
          <t>РОП не читает недельную сводку чужого оператора
Изоляция компаний проверяется напрямую: знание UUID сотрудника другой компании не должно раскрывать его расписание.</t>
        </is>
      </c>
      <c r="E20" s="2" t="inlineStr">
        <is>
          <t>Есть РОП-A, оператор РОП-B и его UUID. Получен токен РОП-A.</t>
        </is>
      </c>
      <c r="F20" s="2" t="inlineStr">
        <is>
          <t>1. В Postman с токеном РОП-A отправь GET `/v1/operator-work/weekly?operator_id=ID_ОПЕРАТОРА_B`.
2. Проверь код и тело ответа.
3. Открой «Посещаемость» РОП-A.
4. Поищи имя и даты оператора B.</t>
        </is>
      </c>
      <c r="G20" s="2" t="inlineStr">
        <is>
          <t>Прямой запрос получает 403 или 404 и не содержит имени, логина, времени или перерывов чужого оператора. В таблице РОП-A его нет.</t>
        </is>
      </c>
      <c r="H20" s="20" t="inlineStr">
        <is>
          <t>Critical</t>
        </is>
      </c>
      <c r="I20" s="3" t="inlineStr">
        <is>
          <t>Not Run</t>
        </is>
      </c>
      <c r="J20" s="2" t="inlineStr">
        <is>
          <t>api|negative</t>
        </is>
      </c>
    </row>
    <row r="21" ht="109.6" customHeight="1">
      <c r="A21" s="3" t="inlineStr">
        <is>
          <t>TC-292</t>
        </is>
      </c>
      <c r="B21" s="2" t="inlineStr">
        <is>
          <t>Web/API — Смены и посещаемость</t>
        </is>
      </c>
      <c r="C21" s="2" t="inlineStr">
        <is>
          <t>/v1/operator-work/presence?operator_ids=ID_ОПЕРАТОРА_B</t>
        </is>
      </c>
      <c r="D21" s="2" t="inlineStr">
        <is>
          <t>РОП не получает онлайн-статус оператора другой компании
Онлайн/офлайн — тоже персональные рабочие данные. Текущий код принимает произвольные `operator_ids` без явной проверки принадлежности РОП, поэтому это критичная проверка R-1.</t>
        </is>
      </c>
      <c r="E21" s="2" t="inlineStr">
        <is>
          <t>Оператор РОП-B сейчас онлайн, известен его UUID. Есть токен РОП-A.</t>
        </is>
      </c>
      <c r="F21" s="2" t="inlineStr">
        <is>
          <t>1. С токеном РОП-A отправь GET `/v1/operator-work/presence?operator_ids=ID_ОПЕРАТОРА_B`.
2. Проверь код и массив `items`.
3. Повтори одновременно со своим оператором A и чужим B в списке через запятую.
4. Проверь карточки операторов в интерфейсе РОП-A.</t>
        </is>
      </c>
      <c r="G21" s="2" t="inlineStr">
        <is>
          <t>Чужой ID отклонён или исключён из ответа. РОП-A не узнаёт `online` и `last_seen_at` оператора B; свой оператор A возвращается корректно.</t>
        </is>
      </c>
      <c r="H21" s="20" t="inlineStr">
        <is>
          <t>Critical</t>
        </is>
      </c>
      <c r="I21" s="3" t="inlineStr">
        <is>
          <t>Not Run</t>
        </is>
      </c>
      <c r="J21" s="2" t="inlineStr">
        <is>
          <t>api|negative</t>
        </is>
      </c>
    </row>
    <row r="22" ht="122.8" customHeight="1">
      <c r="A22" s="3" t="inlineStr">
        <is>
          <t>TC-293</t>
        </is>
      </c>
      <c r="B22" s="2" t="inlineStr">
        <is>
          <t>Web/API — Смены и посещаемость</t>
        </is>
      </c>
      <c r="C22" s="2" t="inlineStr">
        <is>
          <t>/v1/operator-work/shift · /break · /heartbeat</t>
        </is>
      </c>
      <c r="D22" s="2" t="inlineStr">
        <is>
          <t>Роли не обходят границы смен через прямые API-запросы
Открывать смену, перерыв и heartbeat может только сам оператор. РОП читает свою посещаемость, но не меняет состояние от имени сотрудника.</t>
        </is>
      </c>
      <c r="E22" s="2" t="inlineStr">
        <is>
          <t>Есть токены супер-админа, РОП и оператора.</t>
        </is>
      </c>
      <c r="F22" s="2" t="inlineStr">
        <is>
          <t>1. С токеном РОП отправь POST `/v1/operator-work/shift`, `/break` и `/heartbeat`.
2. Повтори три запроса с токеном супер-админа.
3. С токеном оператора запроси `/presence` со своим ID.
4. С токеном оператора запроси `/weekly?operator_id=ЧУЖОЙ_ID`.
5. Проверь реальные смены через законный недельный запрос.</t>
        </is>
      </c>
      <c r="G22" s="2" t="inlineStr">
        <is>
          <t>РОП и супер-админ получают 403 на изменение смены/перерыва/heartbeat. Оператор получает 403 на presence и видит в weekly только себя, даже если передал чужой ID. Чужие состояния не изменились.</t>
        </is>
      </c>
      <c r="H22" s="20" t="inlineStr">
        <is>
          <t>Critical</t>
        </is>
      </c>
      <c r="I22" s="3" t="inlineStr">
        <is>
          <t>Not Run</t>
        </is>
      </c>
      <c r="J22" s="2" t="inlineStr">
        <is>
          <t>api|negative</t>
        </is>
      </c>
    </row>
    <row r="23" ht="109.6" customHeight="1">
      <c r="A23" s="3" t="inlineStr">
        <is>
          <t>TC-294</t>
        </is>
      </c>
      <c r="B23" s="2" t="inlineStr">
        <is>
          <t>Web/API — Смены и посещаемость</t>
        </is>
      </c>
      <c r="C23" s="2" t="inlineStr">
        <is>
          <t>/v1/operator-work/weekly · /v1/operator-work/shift?work_date=ДАТА</t>
        </is>
      </c>
      <c r="D23" s="2" t="inlineStr">
        <is>
          <t>Супер-админ читает только указанного оператора и не удаляет смены
Код даёт супер-админу точечный доступ для поддержки, но не общий список и не удаление рабочих данных.</t>
        </is>
      </c>
      <c r="E23" s="2" t="inlineStr">
        <is>
          <t>Есть токен супер-админа и UUID тестового оператора со сменой.</t>
        </is>
      </c>
      <c r="F23" s="2" t="inlineStr">
        <is>
          <t>1. Запроси GET `/v1/operator-work/weekly` без `operator_id`.
2. Повтори с корректным `operator_id` тестового оператора.
3. Повтори с ID пользователя роли РОП.
4. Попробуй DELETE `/v1/operator-work/shift?work_date=ДАТА&amp;operator_id=ID_ОПЕРАТОРА`.
5. Проверь смену законным GET.</t>
        </is>
      </c>
      <c r="G23" s="2" t="inlineStr">
        <is>
          <t>Без ID — 400, с оператором — только его неделя, с ID РОП — 403. DELETE супер-админа получает 403, смена остаётся.</t>
        </is>
      </c>
      <c r="H23" s="21" t="inlineStr">
        <is>
          <t>High</t>
        </is>
      </c>
      <c r="I23" s="3" t="inlineStr">
        <is>
          <t>Not Run</t>
        </is>
      </c>
      <c r="J23" s="2" t="inlineStr">
        <is>
          <t>api|negative</t>
        </is>
      </c>
    </row>
    <row r="24" ht="96.39999999999999" customHeight="1">
      <c r="A24" s="3" t="inlineStr">
        <is>
          <t>TC-295</t>
        </is>
      </c>
      <c r="B24" s="2" t="inlineStr">
        <is>
          <t>Web/API — Смены и посещаемость</t>
        </is>
      </c>
      <c r="C24" s="2" t="inlineStr">
        <is>
          <t>/v1/operator-work/shift?work_date=ГГГГ-ММ-ДД</t>
        </is>
      </c>
      <c r="D24" s="2" t="inlineStr">
        <is>
          <t>Оператор удаляет только свою тестовую смену через API
В коде есть удаление смены, хотя кнопки в интерфейсе нет. Проверяем осознанное удаление тестовой записи и запрет подмены `operator_id`.</t>
        </is>
      </c>
      <c r="E24" s="2" t="inlineStr">
        <is>
          <t>У отдельного тестового оператора есть закрытая смена за известную дату, которую разрешено удалить. Есть UUID чужого оператора.</t>
        </is>
      </c>
      <c r="F24" s="2" t="inlineStr">
        <is>
          <t>1. С токеном тестового оператора отправь DELETE `/v1/operator-work/shift?work_date=ГГГГ-ММ-ДД&amp;operator_id=ЧУЖОЙ_ID`.
2. Запроси свою недельную сводку.
3. Проверь сводку чужого оператора под его законным РОП.</t>
        </is>
      </c>
      <c r="G24" s="2" t="inlineStr">
        <is>
          <t>Удалена только собственная смена оператора за указанную дату: переданный чужой ID игнорируется для выбора цели. Чужая смена не изменилась; связанные перерывы своей смены удалены вместе с ней.</t>
        </is>
      </c>
      <c r="H24" s="21" t="inlineStr">
        <is>
          <t>High</t>
        </is>
      </c>
      <c r="I24" s="3" t="inlineStr">
        <is>
          <t>Not Run</t>
        </is>
      </c>
      <c r="J24" s="2" t="inlineStr">
        <is>
          <t>api|boundary</t>
        </is>
      </c>
    </row>
    <row r="25" ht="83.19999999999999" customHeight="1">
      <c r="A25" s="3" t="inlineStr">
        <is>
          <t>TC-296</t>
        </is>
      </c>
      <c r="B25" s="2" t="inlineStr">
        <is>
          <t>Web/API — Смены и посещаемость</t>
        </is>
      </c>
      <c r="C25" s="2" t="inlineStr">
        <is>
          <t>Рабочее время / Посещаемость</t>
        </is>
      </c>
      <c r="D25" s="2" t="inlineStr">
        <is>
          <t>РОП удаляет смену только своего оператора
РОП может исправить тестовую запись сотрудника своей компании, но не должен удалить историю другой компании.</t>
        </is>
      </c>
      <c r="E25" s="2" t="inlineStr">
        <is>
          <t>Есть разрешённые к удалению тестовые смены оператора A у РОП-A и оператора B у РОП-B.</t>
        </is>
      </c>
      <c r="F25" s="2" t="inlineStr">
        <is>
          <t>1. С токеном РОП-A отправь DELETE своей даты без `operator_id`.
2. Повтори с `operator_id` оператора B.
3. Проверь обе смены.
4. Отправь DELETE с ID своего оператора A.
5. Снова запроси неделю A.</t>
        </is>
      </c>
      <c r="G25" s="2" t="inlineStr">
        <is>
          <t>Без ID — 400, с чужим ID — 403/404 и смена B сохранена. С ID своего оператора удаляется только разрешённая тестовая смена A.</t>
        </is>
      </c>
      <c r="H25" s="20" t="inlineStr">
        <is>
          <t>Critical</t>
        </is>
      </c>
      <c r="I25" s="3" t="inlineStr">
        <is>
          <t>Not Run</t>
        </is>
      </c>
      <c r="J25" s="2" t="inlineStr">
        <is>
          <t>api|negative</t>
        </is>
      </c>
    </row>
    <row r="26" ht="96.39999999999999" customHeight="1">
      <c r="A26" s="3" t="inlineStr">
        <is>
          <t>TC-297</t>
        </is>
      </c>
      <c r="B26" s="2" t="inlineStr">
        <is>
          <t>Web/API — Смены и посещаемость</t>
        </is>
      </c>
      <c r="C26" s="2" t="inlineStr">
        <is>
          <t>Рабочее время / Посещаемость</t>
        </is>
      </c>
      <c r="D26" s="2" t="inlineStr">
        <is>
          <t>Неверные даты и UUID параметров отклоняются
Повреждённые параметры недельной сводки и удаления не должны выбирать случайную дату или возвращать внутреннюю ошибку.</t>
        </is>
      </c>
      <c r="E26" s="2" t="inlineStr">
        <is>
          <t>Есть токен РОП и UUID своего тестового оператора.</t>
        </is>
      </c>
      <c r="F26" s="2" t="inlineStr">
        <is>
          <t>1. Запроси weekly с `week_start=2026-13-99`.
2. Запроси weekly с `week_start=текст`.
3. Запроси weekly с `operator_id=не-uuid`.
4. Отправь DELETE shift без `work_date`, затем с `work_date=31.02.2026`.
5. После каждого запроса проверь код и обычный корректный запрос.</t>
        </is>
      </c>
      <c r="G26" s="2" t="inlineStr">
        <is>
          <t>Неверные запросы возвращают 400 с понятным указанием поля, не 500. Ничего не удалено, следующий корректный запрос работает.</t>
        </is>
      </c>
      <c r="H26" s="21" t="inlineStr">
        <is>
          <t>High</t>
        </is>
      </c>
      <c r="I26" s="3" t="inlineStr">
        <is>
          <t>Not Run</t>
        </is>
      </c>
      <c r="J26" s="2" t="inlineStr">
        <is>
          <t>api|negative</t>
        </is>
      </c>
    </row>
    <row r="27" ht="122.8" customHeight="1">
      <c r="A27" s="3" t="inlineStr">
        <is>
          <t>TC-298</t>
        </is>
      </c>
      <c r="B27" s="2" t="inlineStr">
        <is>
          <t>Web/API — Смены и посещаемость</t>
        </is>
      </c>
      <c r="C27" s="2" t="inlineStr">
        <is>
          <t>/v1/operator-work/heartbeat</t>
        </is>
      </c>
      <c r="D27" s="2" t="inlineStr">
        <is>
          <t>Активный оператор становится онлайн после heartbeat
Кабинет отправляет heartbeat сразу после входа и каждые 30 секунд. РОП видит оператора онлайн, если сигнал был менее 90 секунд назад.</t>
        </is>
      </c>
      <c r="E27" s="2" t="inlineStr">
        <is>
          <t>Оператор сейчас офлайн. РОП открыл список операторов в другой вкладке.</t>
        </is>
      </c>
      <c r="F27" s="2" t="inlineStr">
        <is>
          <t>1. Войди под оператором и оставь кабинет открытым.
2. В Network проверь POST `/v1/operator-work/heartbeat` сразу после входа.
3. Подожди чуть больше 30 секунд и проверь следующий POST.
4. Под РОП обнови список или дождись его 30-секундного обновления.
5. Открой карточку этого оператора.</t>
        </is>
      </c>
      <c r="G27" s="2" t="inlineStr">
        <is>
          <t>Heartbeat отвечает `ok`, отправляется примерно каждые 30 секунд. У РОП оператор помечен онлайн, и только один ID соответствует этой отметке.</t>
        </is>
      </c>
      <c r="H27" s="21" t="inlineStr">
        <is>
          <t>High</t>
        </is>
      </c>
      <c r="I27" s="3" t="inlineStr">
        <is>
          <t>Not Run</t>
        </is>
      </c>
      <c r="J27" s="2" t="inlineStr">
        <is>
          <t>web|api|positive</t>
        </is>
      </c>
    </row>
    <row r="28" ht="83.19999999999999" customHeight="1">
      <c r="A28" s="3" t="inlineStr">
        <is>
          <t>TC-299</t>
        </is>
      </c>
      <c r="B28" s="2" t="inlineStr">
        <is>
          <t>Web/API — Смены и посещаемость</t>
        </is>
      </c>
      <c r="C28" s="2" t="inlineStr">
        <is>
          <t>Рабочее время / Посещаемость</t>
        </is>
      </c>
      <c r="D28" s="2" t="inlineStr">
        <is>
          <t>Оператор становится офлайн спустя 90 секунд без heartbeat
Закрытая вкладка или потеря сети не должны оставлять сотрудника онлайн навсегда.</t>
        </is>
      </c>
      <c r="E28" s="2" t="inlineStr">
        <is>
          <t>Оператор показан онлайн у РОП.</t>
        </is>
      </c>
      <c r="F28" s="2" t="inlineStr">
        <is>
          <t>1. Закрой все вкладки оператора или заблокируй только heartbeat.
2. Через 60 секунд проверь presence — оператор ещё может быть онлайн.
3. Через 91–120 секунд снова запроси presence.
4. Дождись обновления списка РОП.</t>
        </is>
      </c>
      <c r="G28" s="2" t="inlineStr">
        <is>
          <t>До границы статус не пропадает преждевременно. После более чем 90 секунд `online=false`, РОП видит офлайн не позднее следующего 30-секундного обновления.</t>
        </is>
      </c>
      <c r="H28" s="21" t="inlineStr">
        <is>
          <t>High</t>
        </is>
      </c>
      <c r="I28" s="3" t="inlineStr">
        <is>
          <t>Not Run</t>
        </is>
      </c>
      <c r="J28" s="2" t="inlineStr">
        <is>
          <t>web|api|boundary</t>
        </is>
      </c>
    </row>
    <row r="29" ht="96.39999999999999" customHeight="1">
      <c r="A29" s="3" t="inlineStr">
        <is>
          <t>TC-300</t>
        </is>
      </c>
      <c r="B29" s="2" t="inlineStr">
        <is>
          <t>Web/API — Смены и посещаемость</t>
        </is>
      </c>
      <c r="C29" s="2" t="inlineStr">
        <is>
          <t>Рабочее время / Посещаемость</t>
        </is>
      </c>
      <c r="D29" s="2" t="inlineStr">
        <is>
          <t>Возврат фокуса сразу восстанавливает heartbeat
После сна компьютера или долгой фоновой вкладки приложение отправляет сигнал при возвращении пользователя, не ожидая очередных 30 секунд.</t>
        </is>
      </c>
      <c r="E29" s="2" t="inlineStr">
        <is>
          <t>Оператор авторизован, вкладка долго была в фоне или heartbeat временно блокировался.</t>
        </is>
      </c>
      <c r="F29" s="2" t="inlineStr">
        <is>
          <t>1. Открой Network и очисти список.
2. Переключись из другой программы обратно во вкладку оператора.
3. Проверь немедленный POST heartbeat.
4. Под РОП обнови карточку оператора.</t>
        </is>
      </c>
      <c r="G29" s="2" t="inlineStr">
        <is>
          <t>При фокусе отправлен один heartbeat без 30-секундного ожидания. После успешного ответа оператор снова онлайн; лишней серии одинаковых запросов нет.</t>
        </is>
      </c>
      <c r="H29" s="22" t="inlineStr">
        <is>
          <t>Medium</t>
        </is>
      </c>
      <c r="I29" s="3" t="inlineStr">
        <is>
          <t>Not Run</t>
        </is>
      </c>
      <c r="J29" s="2" t="inlineStr">
        <is>
          <t>web|api|positive</t>
        </is>
      </c>
    </row>
    <row r="30" ht="96.39999999999999" customHeight="1">
      <c r="A30" s="3" t="inlineStr">
        <is>
          <t>TC-301</t>
        </is>
      </c>
      <c r="B30" s="2" t="inlineStr">
        <is>
          <t>Web/API — Смены и посещаемость</t>
        </is>
      </c>
      <c r="C30" s="2" t="inlineStr">
        <is>
          <t>/v1/operator-work/heartbeat</t>
        </is>
      </c>
      <c r="D30" s="2" t="inlineStr">
        <is>
          <t>Сбой heartbeat не блокирует работу оператора
Присутствие — вспомогательная функция. Код намеренно игнорирует ошибку heartbeat, поэтому звонки и формы должны продолжать работать.</t>
        </is>
      </c>
      <c r="E30" s="2" t="inlineStr">
        <is>
          <t>На staging безопасно заблокирован только POST `/v1/operator-work/heartbeat`, остальные API доступны.</t>
        </is>
      </c>
      <c r="F30" s="2" t="inlineStr">
        <is>
          <t>1. Войди под оператором.
2. Дождись неуспешного heartbeat.
3. Открой «Звонки», «Рабочее время» и тестовую карточку.
4. Выполни безопасное чтение и одно разрешённое действие.
5. Верни heartbeat и сфокусируй вкладку.</t>
        </is>
      </c>
      <c r="G30" s="2" t="inlineStr">
        <is>
          <t>Кабинет не падает и не показывает бесконечную общую ошибку. Основные API работают; у РОП оператор временно офлайн. После восстановления новый heartbeat проходит.</t>
        </is>
      </c>
      <c r="H30" s="22" t="inlineStr">
        <is>
          <t>Medium</t>
        </is>
      </c>
      <c r="I30" s="3" t="inlineStr">
        <is>
          <t>Not Run</t>
        </is>
      </c>
      <c r="J30" s="2" t="inlineStr">
        <is>
          <t>web|api|negative</t>
        </is>
      </c>
    </row>
    <row r="31" ht="96.39999999999999" customHeight="1">
      <c r="A31" s="3" t="inlineStr">
        <is>
          <t>TC-302</t>
        </is>
      </c>
      <c r="B31" s="2" t="inlineStr">
        <is>
          <t>Web/API — Смены и посещаемость</t>
        </is>
      </c>
      <c r="C31" s="2" t="inlineStr">
        <is>
          <t>Рабочее время / Посещаемость</t>
        </is>
      </c>
      <c r="D31" s="2" t="inlineStr">
        <is>
          <t>Забытая смена прошлого дня закрывается в 23:59:59 по Ташкенту
До будущего закрытия по N минутам действует текущий механизм: планировщик каждые 30 минут закрывает все открытые смены прошлых дат концом их дня.</t>
        </is>
      </c>
      <c r="E31" s="2" t="inlineStr">
        <is>
          <t>На staging подготовлена открытая тестовая смена за вчера без активного перерыва. Фоновый планировщик включён.</t>
        </is>
      </c>
      <c r="F31" s="2" t="inlineStr">
        <is>
          <t>1. Запиши дату и время начала вчерашней смены.
2. Перезапусти тестовый сервис или дождись ближайшего прохода планировщика.
3. Запроси неделю оператора.
4. Проверь `shift_closed_at` и рабочую длительность.
5. Дождись ещё одного прохода и проверь повторно.</t>
        </is>
      </c>
      <c r="G31" s="2" t="inlineStr">
        <is>
          <t>Смена закрыта один раз на 23:59:59 своей даты в часовом поясе Asia/Tashkent. Повторный проход не меняет время и длительность, сегодняшние смены не затронуты.</t>
        </is>
      </c>
      <c r="H31" s="21" t="inlineStr">
        <is>
          <t>High</t>
        </is>
      </c>
      <c r="I31" s="3" t="inlineStr">
        <is>
          <t>Not Run</t>
        </is>
      </c>
      <c r="J31" s="2" t="inlineStr">
        <is>
          <t>api|boundary</t>
        </is>
      </c>
    </row>
    <row r="32" ht="96.39999999999999" customHeight="1">
      <c r="A32" s="3" t="inlineStr">
        <is>
          <t>TC-303</t>
        </is>
      </c>
      <c r="B32" s="2" t="inlineStr">
        <is>
          <t>Web/API — Смены и посещаемость</t>
        </is>
      </c>
      <c r="C32" s="2" t="inlineStr">
        <is>
          <t>Рабочее время / Посещаемость</t>
        </is>
      </c>
      <c r="D32" s="2" t="inlineStr">
        <is>
          <t>Автозакрытие завершает активный перерыв прошлого дня
Если оператор забыл и перерыв, планировщик должен включить его время в сумму перерывов и очистить активное состояние перед закрытием смены.</t>
        </is>
      </c>
      <c r="E32" s="2" t="inlineStr">
        <is>
          <t>Подготовлена открытая смена за вчера с открытым перерывом и известным временем его начала.</t>
        </is>
      </c>
      <c r="F32" s="2" t="inlineStr">
        <is>
          <t>1. Запиши накопленную длительность и время начала активного перерыва.
2. Запусти или дождись автозакрытия.
3. Запроси недельную сводку.
4. Проверь конец смены, активный перерыв, число и длительность перерывов.</t>
        </is>
      </c>
      <c r="G32" s="2" t="inlineStr">
        <is>
          <t>Смена закрыта в 23:59:59, `active_break_started_at` очищен. Время от начала перерыва до конца суток добавлено в перерывы, рабочее время неотрицательно.</t>
        </is>
      </c>
      <c r="H32" s="21" t="inlineStr">
        <is>
          <t>High</t>
        </is>
      </c>
      <c r="I32" s="3" t="inlineStr">
        <is>
          <t>Not Run</t>
        </is>
      </c>
      <c r="J32" s="2" t="inlineStr">
        <is>
          <t>api|boundary</t>
        </is>
      </c>
    </row>
    <row r="33" ht="96.39999999999999" customHeight="1">
      <c r="A33" s="3" t="inlineStr">
        <is>
          <t>TC-304</t>
        </is>
      </c>
      <c r="B33" s="2" t="inlineStr">
        <is>
          <t>Web/API — Смены и посещаемость</t>
        </is>
      </c>
      <c r="C33" s="2" t="inlineStr">
        <is>
          <t>Рабочее время / Посещаемость</t>
        </is>
      </c>
      <c r="D33" s="2" t="inlineStr">
        <is>
          <t>Планировщик не закрывает открытую смену текущего дня
Текущий механизм работает по смене даты, а не по бездействию. До реализации нового правила дневная смена не должна закрыться через 30 минут тишины.</t>
        </is>
      </c>
      <c r="E33" s="2" t="inlineStr">
        <is>
          <t>Сегодня открыта тестовая смена, активного перерыва нет. Звонков и действий некоторое время нет.</t>
        </is>
      </c>
      <c r="F33" s="2" t="inlineStr">
        <is>
          <t>1. Запиши состояние и время начала.
2. Дождись прохода автозакрытия либо запусти его на staging согласованным способом.
3. Запроси weekly и обнови экран.
4. Проверь `shift_closed_at`.</t>
        </is>
      </c>
      <c r="G33" s="2" t="inlineStr">
        <is>
          <t>Сегодняшняя смена остаётся открытой, `shift_closed_at` пуст. Закрытие после N минут бездействия не ожидается до отдельной реализации по Q-16.</t>
        </is>
      </c>
      <c r="H33" s="21" t="inlineStr">
        <is>
          <t>High</t>
        </is>
      </c>
      <c r="I33" s="3" t="inlineStr">
        <is>
          <t>Not Run</t>
        </is>
      </c>
      <c r="J33" s="2" t="inlineStr">
        <is>
          <t>web|api|negative</t>
        </is>
      </c>
    </row>
    <row r="34" ht="96.39999999999999" customHeight="1">
      <c r="A34" s="3" t="inlineStr">
        <is>
          <t>TC-305</t>
        </is>
      </c>
      <c r="B34" s="2" t="inlineStr">
        <is>
          <t>Web/API — Смены и посещаемость</t>
        </is>
      </c>
      <c r="C34" s="2" t="inlineStr">
        <is>
          <t>Рабочее время / Посещаемость</t>
        </is>
      </c>
      <c r="D34" s="2" t="inlineStr">
        <is>
          <t>Смена после полуночи относится к новой дате Ташкента
Рабочий день вычисляется в Asia/Tashkent. Открытие сразу после местной полуночи не должно попасть во вчерашнюю UTC-дату.</t>
        </is>
      </c>
      <c r="E34" s="2" t="inlineStr">
        <is>
          <t>Проверка выполняется на отдельном тестовом операторе около полуночи или с контролируемым временем staging.</t>
        </is>
      </c>
      <c r="F34" s="2" t="inlineStr">
        <is>
          <t>1. Подготовь время 00:00–00:05 по Ташкенту.
2. Нажми «Начать смену».
3. Запроси недельную сводку и найди новую запись.
4. Сравни `work_date`, `shift_started_at` и местный календарь.
5. Проверь, что вчерашняя закрытая смена не изменилась.</t>
        </is>
      </c>
      <c r="G34" s="2" t="inlineStr">
        <is>
          <t>`work_date` равен новой местной дате, время начала соответствует моменту после полуночи. Не получена ошибка «смена уже закрыта», вчерашняя запись не переоткрыта.</t>
        </is>
      </c>
      <c r="H34" s="20" t="inlineStr">
        <is>
          <t>Critical</t>
        </is>
      </c>
      <c r="I34" s="3" t="inlineStr">
        <is>
          <t>Not Run</t>
        </is>
      </c>
      <c r="J34" s="2" t="inlineStr">
        <is>
          <t>web|api|boundary</t>
        </is>
      </c>
    </row>
    <row r="35" ht="83.19999999999999" customHeight="1">
      <c r="A35" s="3" t="inlineStr">
        <is>
          <t>TC-306</t>
        </is>
      </c>
      <c r="B35" s="2" t="inlineStr">
        <is>
          <t>Web/API — Смены и посещаемость</t>
        </is>
      </c>
      <c r="C35" s="2" t="inlineStr">
        <is>
          <t>Рабочее время / Посещаемость</t>
        </is>
      </c>
      <c r="D35" s="2" t="inlineStr">
        <is>
          <t>Пустая неделя показывает понятное состояние без нулевых фантомов
Если смен не было, РОП и оператор должны видеть объяснение, а не пустую сломанную таблицу или фиктивную смену.</t>
        </is>
      </c>
      <c r="E35" s="2" t="inlineStr">
        <is>
          <t>Выбрана неделя, в которой у тестовой компании нет ни одной смены.</t>
        </is>
      </c>
      <c r="F35" s="2" t="inlineStr">
        <is>
          <t>1. Под РОП открой «Посещаемость» и перейди на пустую неделю.
2. Проверь карточку и KPI.
3. Под оператором запроси ту же пустую неделю через API.
4. Проверь `week_start`, `week_end` и `items`.</t>
        </is>
      </c>
      <c r="G35" s="2" t="inlineStr">
        <is>
          <t>РОП видит «На этой неделе нет записей о сменах», без вводящих в заблуждение KPI. API возвращает 200, правильный диапазон и пустой массив `items`, не `null`.</t>
        </is>
      </c>
      <c r="H35" s="23" t="inlineStr">
        <is>
          <t>Low</t>
        </is>
      </c>
      <c r="I35" s="3" t="inlineStr">
        <is>
          <t>Not Run</t>
        </is>
      </c>
      <c r="J35" s="2" t="inlineStr">
        <is>
          <t>web|api|boundary</t>
        </is>
      </c>
    </row>
    <row r="36" ht="122.8" customHeight="1">
      <c r="A36" s="3" t="inlineStr">
        <is>
          <t>TC-307</t>
        </is>
      </c>
      <c r="B36" s="2" t="inlineStr">
        <is>
          <t>Web/API — Смены и посещаемость</t>
        </is>
      </c>
      <c r="C36" s="2" t="inlineStr">
        <is>
          <t>Рабочее время / Посещаемость</t>
        </is>
      </c>
      <c r="D36" s="2" t="inlineStr">
        <is>
          <t>Длинные имена операторов не ломают таблицу посещаемости
Имя приходит из пользовательских данных и может быть очень длинным. Таблица должна оставаться читаемой на широком и мобильном экране.</t>
        </is>
      </c>
      <c r="E36" s="2" t="inlineStr">
        <is>
          <t>У тестового оператора разрешено временно установить имя и фамилию общей длиной около 250 символов; у него есть смена.</t>
        </is>
      </c>
      <c r="F36" s="2" t="inlineStr">
        <is>
          <t>1. Под РОП открой «Посещаемость» на широком экране.
2. Найди строку оператора с длинным именем.
3. Переключи браузер на ширину около 360 пикселей.
4. Прокрути таблицу по горизонтали и проверь остальные столбцы.
5. Открой карточку оператора и затем верни обычное имя.</t>
        </is>
      </c>
      <c r="G36" s="2" t="inlineStr">
        <is>
          <t>Имя переносится, обрезается с доступным полным значением или расширяет только свою ячейку. Даты, время и кнопки доступны, таблица не выходит навсегда за экран.</t>
        </is>
      </c>
      <c r="H36" s="22" t="inlineStr">
        <is>
          <t>Medium</t>
        </is>
      </c>
      <c r="I36" s="3" t="inlineStr">
        <is>
          <t>Not Run</t>
        </is>
      </c>
      <c r="J36" s="2" t="inlineStr">
        <is>
          <t>web|boundary</t>
        </is>
      </c>
    </row>
  </sheetData>
  <autoFilter ref="A1:J36"/>
  <conditionalFormatting sqref="I2:I66">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6" showDropDown="0" showInputMessage="0" showErrorMessage="0" allowBlank="1" errorTitle="Недопустимое значение" error="Выбери значение из списка: Critical, High, Medium, Low" type="list">
      <formula1>"Critical,High,Medium,Low"</formula1>
    </dataValidation>
    <dataValidation sqref="I2:I66"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TC-308</t>
        </is>
      </c>
      <c r="B2" s="2" t="inlineStr">
        <is>
          <t>Web/API — Лендинг и сквозные пути</t>
        </is>
      </c>
      <c r="C2" s="2" t="inlineStr">
        <is>
          <t>Лендинг / Demo-заявка / E2E</t>
        </is>
      </c>
      <c r="D2" s="2" t="inlineStr">
        <is>
          <t>Главная страница лендинга открывается целиком
Проверяем публичную страницу Operator AI от верхнего меню до подвала. Посетитель должен увидеть предложение продукта, возможности, тарифы и форму демо, даже если он открыл сайт впервые и не входил в админку.</t>
        </is>
      </c>
      <c r="E2" s="2" t="inlineStr">
        <is>
          <t>Открыто приватное окно браузера. Известен адрес лендинга тестового стенда.</t>
        </is>
      </c>
      <c r="F2" s="2" t="inlineStr">
        <is>
          <t>1. Открой адрес лендинга staging.
2. Прокрути страницу сверху вниз.
3. Проверь блоки «Qanday ishlaydi», «Imkoniyatlar», «Tariflar» и «Demo».
4. Проверь логотип Operator AI и подпись `© 2026 Operator AI · Yurtal` внизу.
5. Открой инструменты браузера и убедись, что страница не показала красных ошибок загрузки.</t>
        </is>
      </c>
      <c r="G2" s="2" t="inlineStr">
        <is>
          <t>Страница открывается без входа и без пустых белых блоков. Есть один главный заголовок про AI-контроль звонков, все основные разделы и форма запроса демо; ошибок загрузки приложения нет.</t>
        </is>
      </c>
      <c r="H2" s="22" t="inlineStr">
        <is>
          <t>Medium</t>
        </is>
      </c>
      <c r="I2" s="3" t="inlineStr">
        <is>
          <t>Not Run</t>
        </is>
      </c>
      <c r="J2" s="2" t="inlineStr">
        <is>
          <t>web|positive</t>
        </is>
      </c>
    </row>
    <row r="3" ht="109.6" customHeight="1">
      <c r="A3" s="3" t="inlineStr">
        <is>
          <t>TC-309</t>
        </is>
      </c>
      <c r="B3" s="2" t="inlineStr">
        <is>
          <t>Web/API — Лендинг и сквозные пути</t>
        </is>
      </c>
      <c r="C3" s="2" t="inlineStr">
        <is>
          <t>Лендинг / Demo-заявка / E2E</t>
        </is>
      </c>
      <c r="D3" s="2" t="inlineStr">
        <is>
          <t>Меню и кнопки Demo ведут к нужным разделам
Ссылки на одностраничном лендинге должны прокручивать к реальному разделу, а не перезагружать страницу или вести на пустой адрес.</t>
        </is>
      </c>
      <c r="E3" s="2" t="inlineStr">
        <is>
          <t>Лендинг staging открыт в начале страницы.</t>
        </is>
      </c>
      <c r="F3" s="2" t="inlineStr">
        <is>
          <t>1. Нажми `Qanday ishlaydi` в верхнем меню.
2. Проверь, что появился блок «Uch qadam — nazorat to'liq».
3. Нажми `Imkoniyatlar`, затем `Tariflar` и каждый раз проверь заголовок раздела.
4. Нажми верхнюю кнопку `Demo so'rash`.
5. Вернись наверх и нажми кнопку `Demo so'rash` в одной карточке тарифа.</t>
        </is>
      </c>
      <c r="G3" s="2" t="inlineStr">
        <is>
          <t>Каждая ссылка прокручивает к соответствующему разделу этой же страницы. Обе кнопки Demo приводят к форме с полями `Ismingiz`, `Telefon`, `Kompaniya`, CRM и тариф; новая пустая вкладка не открывается.</t>
        </is>
      </c>
      <c r="H3" s="23" t="inlineStr">
        <is>
          <t>Low</t>
        </is>
      </c>
      <c r="I3" s="3" t="inlineStr">
        <is>
          <t>Not Run</t>
        </is>
      </c>
      <c r="J3" s="2" t="inlineStr">
        <is>
          <t>web|positive</t>
        </is>
      </c>
    </row>
    <row r="4" ht="109.6" customHeight="1">
      <c r="A4" s="3" t="inlineStr">
        <is>
          <t>TC-310</t>
        </is>
      </c>
      <c r="B4" s="2" t="inlineStr">
        <is>
          <t>Web/API — Лендинг и сквозные пути</t>
        </is>
      </c>
      <c r="C4" s="2" t="inlineStr">
        <is>
          <t>Лендинг / Demo-заявка / E2E</t>
        </is>
      </c>
      <c r="D4" s="2" t="inlineStr">
        <is>
          <t>Лендинг показывает актуальные активные тарифы
Карточки тарифов загружаются из публичного API. Проверяем сквозную связь с редактором: активные тарифы идут в заданном порядке, выключенные не рекламируются.</t>
        </is>
      </c>
      <c r="E4" s="2" t="inlineStr">
        <is>
          <t>Под супер-админом записаны текущие значения трёх тарифов. Один тестовый тариф можно временно выключить и затем вернуть.</t>
        </is>
      </c>
      <c r="F4" s="2" t="inlineStr">
        <is>
          <t>1. Открой лендинг и запиши порядок, названия и цены карточек.
2. В админке измени описание одного тарифа и временно выключи другой.
3. Открой лендинг в новом приватном окне.
4. Сравни карточки с настройками админки.
5. Верни исходное описание и включи тариф обратно.</t>
        </is>
      </c>
      <c r="G4" s="2" t="inlineStr">
        <is>
          <t>Лендинг показывает только активные тарифы, в порядке поля `sort`, с актуальным названием, ценой, описанием и возможностями. После возврата настроек все три карточки снова доступны.</t>
        </is>
      </c>
      <c r="H4" s="21" t="inlineStr">
        <is>
          <t>High</t>
        </is>
      </c>
      <c r="I4" s="3" t="inlineStr">
        <is>
          <t>Not Run</t>
        </is>
      </c>
      <c r="J4" s="2" t="inlineStr">
        <is>
          <t>web|api|positive</t>
        </is>
      </c>
    </row>
    <row r="5" ht="109.6" customHeight="1">
      <c r="A5" s="3" t="inlineStr">
        <is>
          <t>TC-311</t>
        </is>
      </c>
      <c r="B5" s="2" t="inlineStr">
        <is>
          <t>Web/API — Лендинг и сквозные пути</t>
        </is>
      </c>
      <c r="C5" s="2" t="inlineStr">
        <is>
          <t>Лендинг / Demo-заявка / E2E</t>
        </is>
      </c>
      <c r="D5" s="2" t="inlineStr">
        <is>
          <t>Лендинг читается на телефоне и при увеличении 200%
Человек может открыть рекламу с телефона или увеличить страницу из-за плохого зрения. Текст, тарифы и форма не должны уходить за экран.</t>
        </is>
      </c>
      <c r="E5" s="2" t="inlineStr">
        <is>
          <t>Лендинг открыт в браузере с инструментами разработчика.</t>
        </is>
      </c>
      <c r="F5" s="2" t="inlineStr">
        <is>
          <t>1. Установи ширину экрана 360 пикселей.
2. Прокрути страницу от начала до формы Demo.
3. Открой каждый список формы и проверь кнопку `Demo so'rash`.
4. Верни широкое окно и увеличь масштаб браузера до 200%.
5. Повтори прокрутку и попробуй перейти по верхним ссылкам.</t>
        </is>
      </c>
      <c r="G5" s="2" t="inlineStr">
        <is>
          <t>Нет постоянной горизонтальной прокрутки и наложения текста. Верхние текстовые ссылки на телефоне могут быть скрыты, но кнопка Demo, все поля формы, тарифы и содержимое страницы остаются доступными.</t>
        </is>
      </c>
      <c r="H5" s="22" t="inlineStr">
        <is>
          <t>Medium</t>
        </is>
      </c>
      <c r="I5" s="3" t="inlineStr">
        <is>
          <t>Not Run</t>
        </is>
      </c>
      <c r="J5" s="2" t="inlineStr">
        <is>
          <t>web|boundary</t>
        </is>
      </c>
    </row>
    <row r="6" ht="122.8" customHeight="1">
      <c r="A6" s="3" t="inlineStr">
        <is>
          <t>TC-312</t>
        </is>
      </c>
      <c r="B6" s="2" t="inlineStr">
        <is>
          <t>Web/API — Лендинг и сквозные пути</t>
        </is>
      </c>
      <c r="C6" s="2" t="inlineStr">
        <is>
          <t>Лендинг / Demo-заявка / E2E</t>
        </is>
      </c>
      <c r="D6" s="2" t="inlineStr">
        <is>
          <t>Форму Demo можно заполнить только клавиатурой
Поля имеют видимые подписи и правильный порядок. Это позволяет пользоваться формой без мыши и помогает экранным дикторам объяснить назначение полей.</t>
        </is>
      </c>
      <c r="E6" s="2" t="inlineStr">
        <is>
          <t>Лендинг открыт, указатель мыши не используется.</t>
        </is>
      </c>
      <c r="F6" s="2" t="inlineStr">
        <is>
          <t>1. Клавишей Tab перейди от верхней кнопки Demo к форме.
2. Последовательно пройди поля `Ismingiz`, `Telefon`, `Kompaniya`, CRM и тариф.
3. Выбери варианты в списках клавишами со стрелками.
4. Перейди на кнопку `Demo so'rash`.
5. Проверь, что рамка фокуса видна на каждом активном элементе.</t>
        </is>
      </c>
      <c r="G6" s="2" t="inlineStr">
        <is>
          <t>Фокус движется в понятном порядке, не пропадает и не застревает. Каждое поле связано с видимой подписью, списки и кнопка работают с клавиатуры.</t>
        </is>
      </c>
      <c r="H6" s="22" t="inlineStr">
        <is>
          <t>Medium</t>
        </is>
      </c>
      <c r="I6" s="3" t="inlineStr">
        <is>
          <t>Not Run</t>
        </is>
      </c>
      <c r="J6" s="2" t="inlineStr">
        <is>
          <t>web|positive</t>
        </is>
      </c>
    </row>
    <row r="7" ht="96.39999999999999" customHeight="1">
      <c r="A7" s="3" t="inlineStr">
        <is>
          <t>TC-313</t>
        </is>
      </c>
      <c r="B7" s="2" t="inlineStr">
        <is>
          <t>Web/API — Лендинг и сквозные пути</t>
        </is>
      </c>
      <c r="C7" s="2" t="inlineStr">
        <is>
          <t>Лендинг / Demo-заявка / E2E</t>
        </is>
      </c>
      <c r="D7" s="2" t="inlineStr">
        <is>
          <t>Отключение анимации оставляет весь текст видимым
При системной настройке «уменьшить движение» подсветка курсора, волна и появления отключаются, но содержимое нельзя скрывать вместе с анимацией.</t>
        </is>
      </c>
      <c r="E7" s="2" t="inlineStr">
        <is>
          <t>В операционной системе или инструментах браузера включено `prefers-reduced-motion: reduce`.</t>
        </is>
      </c>
      <c r="F7" s="2" t="inlineStr">
        <is>
          <t>1. Обнови лендинг.
2. Прокрути страницу сверху вниз.
3. Проверь тексты карточек, шагов, тарифов и формы.
4. Посмотри на волну звонка и двигающуюся подсветку курсора.</t>
        </is>
      </c>
      <c r="G7" s="2" t="inlineStr">
        <is>
          <t>Все тексты сразу видны. Плавная прокрутка, пульсация, волна и подсветка курсора не двигаются; страница и ссылки продолжают работать.</t>
        </is>
      </c>
      <c r="H7" s="23" t="inlineStr">
        <is>
          <t>Low</t>
        </is>
      </c>
      <c r="I7" s="3" t="inlineStr">
        <is>
          <t>Not Run</t>
        </is>
      </c>
      <c r="J7" s="2" t="inlineStr">
        <is>
          <t>web|boundary</t>
        </is>
      </c>
    </row>
    <row r="8" ht="122.8" customHeight="1">
      <c r="A8" s="3" t="inlineStr">
        <is>
          <t>TC-314</t>
        </is>
      </c>
      <c r="B8" s="2" t="inlineStr">
        <is>
          <t>Web/API — Лендинг и сквозные пути</t>
        </is>
      </c>
      <c r="C8" s="2" t="inlineStr">
        <is>
          <t>Лендинг / Demo-заявка / E2E</t>
        </is>
      </c>
      <c r="D8" s="2" t="inlineStr">
        <is>
          <t>Демо-заявка проходит путь от сайта до админки
Главный сквозной сценарий лендинга: посетитель отправляет данные, система сохраняет их в своей базе, а супер-админ видит новую заявку. Потеря такой записи означает потерю потенциального клиента.</t>
        </is>
      </c>
      <c r="E8" s="2" t="inlineStr">
        <is>
          <t>Подготовлены уникальный тестовый телефон, имя и компания. В отдельной вкладке супер-админ вошёл в staging.</t>
        </is>
      </c>
      <c r="F8" s="2" t="inlineStr">
        <is>
          <t>1. На лендинге заполни `Ismingiz`, `Telefon` и `Kompaniya` тестовыми данными.
2. Выбери CRM и любой тариф.
3. Нажми `Demo so'rash` один раз.
4. Проверь сообщение `So'rov qabul qilindi` и не закрывай страницу.
5. В админке открой «Лиды» и найди запись по уникальному телефону.
6. Открой карточку и сравни все поля с формой.</t>
        </is>
      </c>
      <c r="G8" s="2" t="inlineStr">
        <is>
          <t>Форма без перехода на другую страницу сообщает о приёме. В разделе «Лиды» появляется ровно одна новая запись с теми же именем, телефоном, компанией, CRM и тарифом; статус — «РОП не создан».</t>
        </is>
      </c>
      <c r="H8" s="20" t="inlineStr">
        <is>
          <t>Critical</t>
        </is>
      </c>
      <c r="I8" s="3" t="inlineStr">
        <is>
          <t>Not Run</t>
        </is>
      </c>
      <c r="J8" s="2" t="inlineStr">
        <is>
          <t>web|api|positive</t>
        </is>
      </c>
    </row>
    <row r="9" ht="96.39999999999999" customHeight="1">
      <c r="A9" s="3" t="inlineStr">
        <is>
          <t>TC-315</t>
        </is>
      </c>
      <c r="B9" s="2" t="inlineStr">
        <is>
          <t>Web/API — Лендинг и сквозные пути</t>
        </is>
      </c>
      <c r="C9" s="2" t="inlineStr">
        <is>
          <t>Лендинг / Demo-заявка / E2E</t>
        </is>
      </c>
      <c r="D9" s="2" t="inlineStr">
        <is>
          <t>Все варианты CRM сохраняются без подмены
Лендинг переводит четыре понятных посетителю варианта в три значения сервера. Особенно важно проверить `CRM ishlatmaymiz`: сервер хранит его как `Boshqa`.</t>
        </is>
      </c>
      <c r="E9" s="2" t="inlineStr">
        <is>
          <t>Подготовлены четыре уникальных тестовых телефона.</t>
        </is>
      </c>
      <c r="F9" s="2" t="inlineStr">
        <is>
          <t>1. Отправь отдельную заявку с `amoCRM`.
2. Отправь вторую с `Bitrix24`.
3. Отправь третью с `Boshqa`.
4. Отправь четвёртую с `CRM ishlatmaymiz`.
5. В админке открой четыре карточки и сравни поле CRM.</t>
        </is>
      </c>
      <c r="G9" s="2" t="inlineStr">
        <is>
          <t>Первая карточка содержит `AmoCRM`, вторая — `Bitrix`, третья и четвёртая — `Boshqa`. Заявки не отклонены из-за различия подписей лендинга и значений API.</t>
        </is>
      </c>
      <c r="H9" s="21" t="inlineStr">
        <is>
          <t>High</t>
        </is>
      </c>
      <c r="I9" s="3" t="inlineStr">
        <is>
          <t>Not Run</t>
        </is>
      </c>
      <c r="J9" s="2" t="inlineStr">
        <is>
          <t>web|api|positive</t>
        </is>
      </c>
    </row>
    <row r="10" ht="96.39999999999999" customHeight="1">
      <c r="A10" s="3" t="inlineStr">
        <is>
          <t>TC-316</t>
        </is>
      </c>
      <c r="B10" s="2" t="inlineStr">
        <is>
          <t>Web/API — Лендинг и сквозные пути</t>
        </is>
      </c>
      <c r="C10" s="2" t="inlineStr">
        <is>
          <t>Лендинг / Demo-заявка / E2E</t>
        </is>
      </c>
      <c r="D10" s="2" t="inlineStr">
        <is>
          <t>Пробелы по краям данных заявки удаляются
Случайные пробелы после вставки не должны превращаться в часть имени или телефона и мешать поиску потенциального клиента.</t>
        </is>
      </c>
      <c r="E10" s="2" t="inlineStr">
        <is>
          <t>Подготовлены уникальные тестовые данные.</t>
        </is>
      </c>
      <c r="F10" s="2" t="inlineStr">
        <is>
          <t>1. Вставь в имя, телефон и компанию по несколько пробелов до и после текста.
2. Выбери CRM и нажми `Demo so'rash`.
3. Открой созданную карточку в админке.
4. Скопируй каждое значение в простой текстовый редактор.</t>
        </is>
      </c>
      <c r="G10" s="2" t="inlineStr">
        <is>
          <t>Имя, телефон и компания сохранены без пробелов в начале и конце. Значимые пробелы внутри имени и названия компании не потеряны.</t>
        </is>
      </c>
      <c r="H10" s="22" t="inlineStr">
        <is>
          <t>Medium</t>
        </is>
      </c>
      <c r="I10" s="3" t="inlineStr">
        <is>
          <t>Not Run</t>
        </is>
      </c>
      <c r="J10" s="2" t="inlineStr">
        <is>
          <t>web|api|boundary</t>
        </is>
      </c>
    </row>
    <row r="11" ht="96.39999999999999" customHeight="1">
      <c r="A11" s="3" t="inlineStr">
        <is>
          <t>TC-317</t>
        </is>
      </c>
      <c r="B11" s="2" t="inlineStr">
        <is>
          <t>Web/API — Лендинг и сквозные пути</t>
        </is>
      </c>
      <c r="C11" s="2" t="inlineStr">
        <is>
          <t>Лендинг / Demo-заявка / E2E</t>
        </is>
      </c>
      <c r="D11" s="2" t="inlineStr">
        <is>
          <t>Пустые обязательные поля не отправляют заявку
Имя, телефон и компания помечены обязательными. Проверяем каждое поле отдельно, чтобы пустая заявка не засоряла список и не показывала ложный успех.</t>
        </is>
      </c>
      <c r="E11" s="2" t="inlineStr">
        <is>
          <t>Открыта чистая форма Demo.</t>
        </is>
      </c>
      <c r="F11" s="2" t="inlineStr">
        <is>
          <t>1. Оставь все поля пустыми и нажми `Demo so'rash`.
2. Заполни всё, кроме `Ismingiz`, и снова нажми кнопку.
3. Повтори без `Telefon`.
4. Повтори без `Kompaniya`.
5. Проверь сетевые запросы во вкладке Network.</t>
        </is>
      </c>
      <c r="G11" s="2" t="inlineStr">
        <is>
          <t>Браузер указывает на первое незаполненное обязательное поле. POST-запрос не отправляется, сообщение `So'rov qabul qilindi` не появляется.</t>
        </is>
      </c>
      <c r="H11" s="21" t="inlineStr">
        <is>
          <t>High</t>
        </is>
      </c>
      <c r="I11" s="3" t="inlineStr">
        <is>
          <t>Not Run</t>
        </is>
      </c>
      <c r="J11" s="2" t="inlineStr">
        <is>
          <t>web|negative</t>
        </is>
      </c>
    </row>
    <row r="12" ht="96.39999999999999" customHeight="1">
      <c r="A12" s="3" t="inlineStr">
        <is>
          <t>TC-318</t>
        </is>
      </c>
      <c r="B12" s="2" t="inlineStr">
        <is>
          <t>Web/API — Лендинг и сквозные пути</t>
        </is>
      </c>
      <c r="C12" s="2" t="inlineStr">
        <is>
          <t>Лендинг / Demo-заявка / E2E</t>
        </is>
      </c>
      <c r="D12" s="2" t="inlineStr">
        <is>
          <t>Слишком короткий или буквенный телефон отклоняется
Поле телефона разрешает цифры, пробелы, скобки, дефис и плюс, минимум девять знаков. Проверяем подсказку браузера и отсутствие мусорной заявки.</t>
        </is>
      </c>
      <c r="E12" s="2" t="inlineStr">
        <is>
          <t>Остальные обязательные поля формы заполнены допустимыми данными.</t>
        </is>
      </c>
      <c r="F12" s="2" t="inlineStr">
        <is>
          <t>1. Введи в `Telefon` значение `12345` и нажми `Demo so'rash`.
2. Замени его на `телефон123` и повтори.
3. Введи допустимый тестовый номер с `+`, пробелами и скобками.
4. Отправь форму и найди заявку в админке.</t>
        </is>
      </c>
      <c r="G12" s="2" t="inlineStr">
        <is>
          <t>Первые два значения не отправляются. Допустимый номер принимается и сохраняется точно как ввёл посетитель; ложного сообщения об успехе для плохих значений нет.</t>
        </is>
      </c>
      <c r="H12" s="21" t="inlineStr">
        <is>
          <t>High</t>
        </is>
      </c>
      <c r="I12" s="3" t="inlineStr">
        <is>
          <t>Not Run</t>
        </is>
      </c>
      <c r="J12" s="2" t="inlineStr">
        <is>
          <t>web|negative</t>
        </is>
      </c>
    </row>
    <row r="13" ht="136" customHeight="1">
      <c r="A13" s="3" t="inlineStr">
        <is>
          <t>TC-319</t>
        </is>
      </c>
      <c r="B13" s="2" t="inlineStr">
        <is>
          <t>Web/API — Лендинг и сквозные пути</t>
        </is>
      </c>
      <c r="C13" s="2" t="inlineStr">
        <is>
          <t>Лендинг / Demo-заявка / E2E</t>
        </is>
      </c>
      <c r="D13" s="2" t="inlineStr">
        <is>
          <t>Очень длинные данные заявки обрабатываются безопасно
На форме и сервере нет видимого ограничения длины. Проверяем значения примерно по 5000 символов, чтобы запрос не обрушил страницу или базу.</t>
        </is>
      </c>
      <c r="E13" s="2" t="inlineStr">
        <is>
          <t>Подготовлены длинные тестовые имя и компания; используется staging.</t>
        </is>
      </c>
      <c r="F13" s="2" t="inlineStr">
        <is>
          <t>1. Вставь около 5000 букв в `Ismingiz` и `Kompaniya`.
2. Введи допустимый уникальный телефон и нажми `Demo so'rash`.
3. Проверь сообщение формы и код ответа во вкладке Network.
4. Если заявка принята, открой список и карточку в админке.
5. Проверь соседние строки и кнопки на широком и мобильном экране.</t>
        </is>
      </c>
      <c r="G13" s="2" t="inlineStr">
        <is>
          <t>Система либо заранее сообщает понятный предел длины и не создаёт запись, либо без ошибки сохраняет текст как данные. Нет ответа 500, падения страницы, обрезания без предупреждения или поломки всей таблицы.</t>
        </is>
      </c>
      <c r="H13" s="21" t="inlineStr">
        <is>
          <t>High</t>
        </is>
      </c>
      <c r="I13" s="3" t="inlineStr">
        <is>
          <t>Not Run</t>
        </is>
      </c>
      <c r="J13" s="2" t="inlineStr">
        <is>
          <t>web|api|boundary</t>
        </is>
      </c>
    </row>
    <row r="14" ht="96.39999999999999" customHeight="1">
      <c r="A14" s="3" t="inlineStr">
        <is>
          <t>TC-320</t>
        </is>
      </c>
      <c r="B14" s="2" t="inlineStr">
        <is>
          <t>Web/API — Лендинг и сквозные пути</t>
        </is>
      </c>
      <c r="C14" s="2" t="inlineStr">
        <is>
          <t>Лендинг / Demo-заявка / E2E</t>
        </is>
      </c>
      <c r="D14" s="2" t="inlineStr">
        <is>
          <t>Текст, похожий на HTML, не выполняется в админке
Публичную форму может заполнить кто угодно. Имя и компания должны показываться обычным текстом, даже если внутри записана строка, похожая на код страницы.</t>
        </is>
      </c>
      <c r="E14" s="2" t="inlineStr">
        <is>
          <t>Подготовлена безопасная тестовая строка `&lt;img src=x onerror=alert(1)&gt;` и уникальный телефон.</t>
        </is>
      </c>
      <c r="F14" s="2" t="inlineStr">
        <is>
          <t>1. Вставь тестовую строку в `Ismingiz` и `Kompaniya`.
2. Отправь демо-заявку.
3. Открой раздел «Лиды» в админке.
4. Открой карточку новой заявки.
5. Проверь, не появилось ли окно alert и не загрузилось ли постороннее изображение.</t>
        </is>
      </c>
      <c r="G14" s="2" t="inlineStr">
        <is>
          <t>Строка отображается как обычный текст. Код не выполняется, посторонний запрос не отправляется, остальные заявки и кабинет работают нормально.</t>
        </is>
      </c>
      <c r="H14" s="20" t="inlineStr">
        <is>
          <t>Critical</t>
        </is>
      </c>
      <c r="I14" s="3" t="inlineStr">
        <is>
          <t>Not Run</t>
        </is>
      </c>
      <c r="J14" s="2" t="inlineStr">
        <is>
          <t>web|api|negative</t>
        </is>
      </c>
    </row>
    <row r="15" ht="96.39999999999999" customHeight="1">
      <c r="A15" s="3" t="inlineStr">
        <is>
          <t>TC-321</t>
        </is>
      </c>
      <c r="B15" s="2" t="inlineStr">
        <is>
          <t>Web/API — Лендинг и сквозные пути</t>
        </is>
      </c>
      <c r="C15" s="2" t="inlineStr">
        <is>
          <t>Лендинг / Demo-заявка / E2E</t>
        </is>
      </c>
      <c r="D15" s="2" t="inlineStr">
        <is>
          <t>Двойное нажатие Demo не создаёт две заявки
Во время отправки кнопка меняется на `Yuborilmoqda…` и блокируется. Проверяем защиту от быстрого двойного клика и медленной сети.</t>
        </is>
      </c>
      <c r="E15" s="2" t="inlineStr">
        <is>
          <t>Подготовлен уникальный телефон. В инструментах браузера включено медленное соединение.</t>
        </is>
      </c>
      <c r="F15" s="2" t="inlineStr">
        <is>
          <t>1. Заполни форму допустимыми данными.
2. Очень быстро дважды нажми `Demo so'rash`.
3. Пока запрос выполняется, попробуй нажать кнопку ещё раз.
4. После успеха открой «Лиды» и найди телефон.</t>
        </is>
      </c>
      <c r="G15" s="2" t="inlineStr">
        <is>
          <t>Отправляется один POST-запрос и создаётся одна заявка. Кнопка недоступна во время отправки; сообщение об успехе появляется один раз.</t>
        </is>
      </c>
      <c r="H15" s="21" t="inlineStr">
        <is>
          <t>High</t>
        </is>
      </c>
      <c r="I15" s="3" t="inlineStr">
        <is>
          <t>Not Run</t>
        </is>
      </c>
      <c r="J15" s="2" t="inlineStr">
        <is>
          <t>web|api|negative</t>
        </is>
      </c>
    </row>
    <row r="16" ht="122.8" customHeight="1">
      <c r="A16" s="3" t="inlineStr">
        <is>
          <t>TC-322</t>
        </is>
      </c>
      <c r="B16" s="2" t="inlineStr">
        <is>
          <t>Web/API — Лендинг и сквозные пути</t>
        </is>
      </c>
      <c r="C16" s="2" t="inlineStr">
        <is>
          <t>Лендинг / Demo-заявка / E2E</t>
        </is>
      </c>
      <c r="D16" s="2" t="inlineStr">
        <is>
          <t>После потери сети форму можно исправить и отправить снова
Неудачная отправка не должна очищать введённые данные. Человек должен увидеть понятный запасной контакт и иметь возможность повторить запрос после восстановления сети.</t>
        </is>
      </c>
      <c r="E16" s="2" t="inlineStr">
        <is>
          <t>Форма заполнена уникальными допустимыми данными.</t>
        </is>
      </c>
      <c r="F16" s="2" t="inlineStr">
        <is>
          <t>1. Включи режим Offline в инструментах браузера.
2. Нажми `Demo so'rash`.
3. Проверь текст ошибки и ссылку `@operatorai_uz`.
4. Убедись, что введённые имя, телефон, компания, CRM и тариф остались в полях.
5. Верни сеть в Online и нажми `Demo so'rash` ещё раз.
6. Найди заявку в админке.</t>
        </is>
      </c>
      <c r="G16" s="2" t="inlineStr">
        <is>
          <t>Без сети показано `Yuborilmadi. To'g'ridan-to'g'ri yozing: @operatorai_uz`, данные не потеряны. После восстановления создаётся одна заявка и появляется сообщение об успехе.</t>
        </is>
      </c>
      <c r="H16" s="21" t="inlineStr">
        <is>
          <t>High</t>
        </is>
      </c>
      <c r="I16" s="3" t="inlineStr">
        <is>
          <t>Not Run</t>
        </is>
      </c>
      <c r="J16" s="2" t="inlineStr">
        <is>
          <t>web|negative</t>
        </is>
      </c>
    </row>
    <row r="17" ht="96.39999999999999" customHeight="1">
      <c r="A17" s="3" t="inlineStr">
        <is>
          <t>TC-323</t>
        </is>
      </c>
      <c r="B17" s="2" t="inlineStr">
        <is>
          <t>Web/API — Лендинг и сквозные пути</t>
        </is>
      </c>
      <c r="C17" s="2" t="inlineStr">
        <is>
          <t>/v1/leads</t>
        </is>
      </c>
      <c r="D17" s="2" t="inlineStr">
        <is>
          <t>Ошибка базы не показывается посетителю как успех
Если основное хранилище не сохранило заявку, лендинг обязан сообщить об ошибке. Успех допустим только после записи в базу Operator AI.</t>
        </is>
      </c>
      <c r="E17" s="2" t="inlineStr">
        <is>
          <t>На staging согласован безопасный способ временно заставить POST `/v1/leads` вернуть ошибку хранилища; реальные заявки не затрагиваются.</t>
        </is>
      </c>
      <c r="F17" s="2" t="inlineStr">
        <is>
          <t>1. Заполни форму уникальными тестовыми данными.
2. Включи согласованный отказ базы.
3. Нажми `Demo so'rash` и запиши код ответа.
4. Верни базу в нормальное состояние.
5. Поищи телефон в разделе «Лиды».</t>
        </is>
      </c>
      <c r="G17" s="2" t="inlineStr">
        <is>
          <t>API возвращает ошибку, форма показывает `Yuborilmadi`, а не `So'rov qabul qilindi`. Запись с тестовым телефоном не появляется; после восстановления другие заявки принимаются нормально.</t>
        </is>
      </c>
      <c r="H17" s="20" t="inlineStr">
        <is>
          <t>Critical</t>
        </is>
      </c>
      <c r="I17" s="3" t="inlineStr">
        <is>
          <t>Not Run</t>
        </is>
      </c>
      <c r="J17" s="2" t="inlineStr">
        <is>
          <t>web|api|negative</t>
        </is>
      </c>
    </row>
    <row r="18" ht="109.6" customHeight="1">
      <c r="A18" s="3" t="inlineStr">
        <is>
          <t>TC-324</t>
        </is>
      </c>
      <c r="B18" s="2" t="inlineStr">
        <is>
          <t>Web/API — Лендинг и сквозные пути</t>
        </is>
      </c>
      <c r="C18" s="2" t="inlineStr">
        <is>
          <t>/v1/leads</t>
        </is>
      </c>
      <c r="D18" s="2" t="inlineStr">
        <is>
          <t>Недоступный Google Sheets не теряет заявку
Google-таблица — только дополнительная копия. Код сначала сохраняет запись в своей базе; отказ таблицы не должен стоить компании потенциального клиента.</t>
        </is>
      </c>
      <c r="E18" s="2" t="inlineStr">
        <is>
          <t>На staging Google Sheets выключен или тестовый клиент зеркала настроен на безопасный отказ.</t>
        </is>
      </c>
      <c r="F18" s="2" t="inlineStr">
        <is>
          <t>1. Отправь с лендинга заявку с уникальным телефоном.
2. Проверь сообщение на лендинге и код POST `/v1/leads`.
3. Под супер-админом открой «Лиды».
4. Найди заявку и открой карточку.
5. Если доступен технический ответ API, проверь `status` и `error_message`.</t>
        </is>
      </c>
      <c r="G18" s="2" t="inlineStr">
        <is>
          <t>Посетитель видит успешный приём, API отвечает 200, заявка есть в базе и админке. Технический статус может быть `failed`, но отказ зеркала не удаляет запись и не раскрывает посетителю внутренние детали.</t>
        </is>
      </c>
      <c r="H18" s="20" t="inlineStr">
        <is>
          <t>Critical</t>
        </is>
      </c>
      <c r="I18" s="3" t="inlineStr">
        <is>
          <t>Not Run</t>
        </is>
      </c>
      <c r="J18" s="2" t="inlineStr">
        <is>
          <t>web|api|negative</t>
        </is>
      </c>
    </row>
    <row r="19" ht="109.6" customHeight="1">
      <c r="A19" s="3" t="inlineStr">
        <is>
          <t>TC-325</t>
        </is>
      </c>
      <c r="B19" s="2" t="inlineStr">
        <is>
          <t>Web/API — Лендинг и сквозные пути</t>
        </is>
      </c>
      <c r="C19" s="2" t="inlineStr">
        <is>
          <t>/v1/leads · /v1/google-sheets/leads</t>
        </is>
      </c>
      <c r="D19" s="2" t="inlineStr">
        <is>
          <t>Новый адрес заявок работает, старый остаётся совместимым
Основной адрес переименован в `/v1/leads`. Старый `/v1/google-sheets/leads` временно оставлен для уже собранных версий лендинга. Проверяем оба без реальных секретов.</t>
        </is>
      </c>
      <c r="E19" s="2" t="inlineStr">
        <is>
          <t>Из .env известен {STAGE_API_URL}. Подготовлены два уникальных тестовых телефона.</t>
        </is>
      </c>
      <c r="F19" s="2" t="inlineStr">
        <is>
          <t>1. В Postman создай POST-запрос на `{STAGE_API_URL}/v1/leads`.
2. В Body выбери raw JSON и укажи `telefon_raqam`, `ism`, `kampaniya_nomi`, `crm`.
3. Отправь запрос и запиши код ответа.
4. Повтори с другим телефоном на `/v1/google-sheets/leads`.
5. В админке найди обе заявки.</t>
        </is>
      </c>
      <c r="G19" s="2" t="inlineStr">
        <is>
          <t>Оба запроса приняты и создали по одной записи. Новый лендинг использует только `/v1/leads`; старый адрес помечен устаревшим в OpenAPI, но не возвращает 404.</t>
        </is>
      </c>
      <c r="H19" s="21" t="inlineStr">
        <is>
          <t>High</t>
        </is>
      </c>
      <c r="I19" s="3" t="inlineStr">
        <is>
          <t>Not Run</t>
        </is>
      </c>
      <c r="J19" s="2" t="inlineStr">
        <is>
          <t>api|positive</t>
        </is>
      </c>
    </row>
    <row r="20" ht="96.39999999999999" customHeight="1">
      <c r="A20" s="3" t="inlineStr">
        <is>
          <t>TC-326</t>
        </is>
      </c>
      <c r="B20" s="2" t="inlineStr">
        <is>
          <t>Web/API — Лендинг и сквозные пути</t>
        </is>
      </c>
      <c r="C20" s="2" t="inlineStr">
        <is>
          <t>/v1/leads</t>
        </is>
      </c>
      <c r="D20" s="2" t="inlineStr">
        <is>
          <t>Сервер отклоняет пустую и неизвестную CRM
Список в браузере можно обойти прямым запросом. Сервер принимает только `AmoCRM`, `Bitrix` и `Boshqa`, иначе заявка не должна попадать в базу.</t>
        </is>
      </c>
      <c r="E20" s="2" t="inlineStr">
        <is>
          <t>Из .env известен {STAGE_API_URL}. Подготовлены уникальные телефоны.</t>
        </is>
      </c>
      <c r="F20" s="2" t="inlineStr">
        <is>
          <t>1. В Postman отправь допустимую заявку на `/v1/leads`, но оставь `crm` пустым.
2. Повтори с `crm` равным `Salesforce`.
3. Запиши код и текст обоих ответов.
4. Под супер-админом поищи оба телефона.</t>
        </is>
      </c>
      <c r="G20" s="2" t="inlineStr">
        <is>
          <t>Оба запроса получают 400/422 с понятным отказом. Записи не созданы, неизвестное значение не заменено молча на `Boshqa`.</t>
        </is>
      </c>
      <c r="H20" s="21" t="inlineStr">
        <is>
          <t>High</t>
        </is>
      </c>
      <c r="I20" s="3" t="inlineStr">
        <is>
          <t>Not Run</t>
        </is>
      </c>
      <c r="J20" s="2" t="inlineStr">
        <is>
          <t>api|negative</t>
        </is>
      </c>
    </row>
    <row r="21" ht="109.6" customHeight="1">
      <c r="A21" s="3" t="inlineStr">
        <is>
          <t>TC-327</t>
        </is>
      </c>
      <c r="B21" s="2" t="inlineStr">
        <is>
          <t>Web/API — Лендинг и сквозные пути</t>
        </is>
      </c>
      <c r="C21" s="2" t="inlineStr">
        <is>
          <t>/v1/leads</t>
        </is>
      </c>
      <c r="D21" s="2" t="inlineStr">
        <is>
          <t>Создание заявки публично, чтение доступно только супер-админу
Посетитель не входит в систему, чтобы запросить Demo. Но список телефонов и компаний содержит персональные данные и должен быть закрыт от гостей, РОП и операторов.</t>
        </is>
      </c>
      <c r="E21" s="2" t="inlineStr">
        <is>
          <t>Из .env известны тестовые учётные записи трёх ролей и {STAGE_API_URL}.</t>
        </is>
      </c>
      <c r="F21" s="2" t="inlineStr">
        <is>
          <t>1. Без токена отправь безопасную тестовую заявку POST `/v1/leads`.
2. Без токена запроси GET `/v1/leads`.
3. Повтори GET с токеном РОП и затем оператора.
4. Запроси GET с токеном супер-админа.
5. Сравни ответы и убедись, что в отказах нет данных заявок.</t>
        </is>
      </c>
      <c r="G21" s="2" t="inlineStr">
        <is>
          <t>Публичный POST принят. GET без входа получает 401, РОП и оператор — 403; их ответы не содержат имён и телефонов. Супер-админ получает 200 и список.</t>
        </is>
      </c>
      <c r="H21" s="20" t="inlineStr">
        <is>
          <t>Critical</t>
        </is>
      </c>
      <c r="I21" s="3" t="inlineStr">
        <is>
          <t>Not Run</t>
        </is>
      </c>
      <c r="J21" s="2" t="inlineStr">
        <is>
          <t>api|negative</t>
        </is>
      </c>
    </row>
    <row r="22" ht="96.39999999999999" customHeight="1">
      <c r="A22" s="3" t="inlineStr">
        <is>
          <t>TC-328</t>
        </is>
      </c>
      <c r="B22" s="2" t="inlineStr">
        <is>
          <t>Web/API — Лендинг и сквозные пути</t>
        </is>
      </c>
      <c r="C22" s="2" t="inlineStr">
        <is>
          <t>Лендинг / Demo-заявка / E2E</t>
        </is>
      </c>
      <c r="D22" s="2" t="inlineStr">
        <is>
          <t>Новые заявки идут первыми, страницы не теряют строки
Раздел «Лиды» использует страницы по 5, 10 или 25 строк. Проверяем сортировку по времени и переходы между страницами.</t>
        </is>
      </c>
      <c r="E22" s="2" t="inlineStr">
        <is>
          <t>На staging есть минимум 12 тестовых заявок с различимым временем создания.</t>
        </is>
      </c>
      <c r="F22" s="2" t="inlineStr">
        <is>
          <t>1. Создай ещё одну заявку с меткой времени в имени.
2. Открой «Лиды» и выбери «Строк на странице: 5».
3. Проверь первую строку и счётчик рядом с заголовком «Лиды».
4. Перейди на вторую и третью страницу.
5. Вернись на первую, затем выбери 10 и 25 строк.</t>
        </is>
      </c>
      <c r="G22" s="2" t="inlineStr">
        <is>
          <t>Самая новая заявка находится первой. При переходах нет пропусков и повторов, счётчик равен `totalItems`, диапазон строк и число страниц меняются правильно.</t>
        </is>
      </c>
      <c r="H22" s="22" t="inlineStr">
        <is>
          <t>Medium</t>
        </is>
      </c>
      <c r="I22" s="3" t="inlineStr">
        <is>
          <t>Not Run</t>
        </is>
      </c>
      <c r="J22" s="2" t="inlineStr">
        <is>
          <t>web|api|boundary</t>
        </is>
      </c>
    </row>
    <row r="23" ht="96.39999999999999" customHeight="1">
      <c r="A23" s="3" t="inlineStr">
        <is>
          <t>TC-329</t>
        </is>
      </c>
      <c r="B23" s="2" t="inlineStr">
        <is>
          <t>Web/API — Лендинг и сквозные пути</t>
        </is>
      </c>
      <c r="C23" s="2" t="inlineStr">
        <is>
          <t>Лендинг / Demo-заявка / E2E</t>
        </is>
      </c>
      <c r="D23" s="2" t="inlineStr">
        <is>
          <t>Карточка заявки показывает исходные данные и рабочий телефон
Супер-админ открывает строку и должен увидеть то, что отправил посетитель, без технических названий полей.</t>
        </is>
      </c>
      <c r="E23" s="2" t="inlineStr">
        <is>
          <t>Есть новая заявка с известными именем, телефоном, компанией, CRM и тарифом.</t>
        </is>
      </c>
      <c r="F23" s="2" t="inlineStr">
        <is>
          <t>1. Открой «Лиды» и нажми строку заявки.
2. Сравни имя, телефон, компанию, CRM, «Выбранный тариф» и «Дата поступления».
3. Нажми ссылку телефона и проверь, что браузер предлагает звонок по этому номеру.
4. Нажми «Назад» и убедись, что вернулся тот же список.</t>
        </is>
      </c>
      <c r="G23" s="2" t="inlineStr">
        <is>
          <t>Карточка точно показывает данные заявки, понятные подписи и местное время. Телефон имеет ссылку `tel:` с тем же номером; возврат не сбрасывает список.</t>
        </is>
      </c>
      <c r="H23" s="22" t="inlineStr">
        <is>
          <t>Medium</t>
        </is>
      </c>
      <c r="I23" s="3" t="inlineStr">
        <is>
          <t>Not Run</t>
        </is>
      </c>
      <c r="J23" s="2" t="inlineStr">
        <is>
          <t>web|positive</t>
        </is>
      </c>
    </row>
    <row r="24" ht="109.6" customHeight="1">
      <c r="A24" s="3" t="inlineStr">
        <is>
          <t>TC-330</t>
        </is>
      </c>
      <c r="B24" s="2" t="inlineStr">
        <is>
          <t>Web/API — Лендинг и сквозные пути</t>
        </is>
      </c>
      <c r="C24" s="2" t="inlineStr">
        <is>
          <t>Лендинг / Demo-заявка / E2E</t>
        </is>
      </c>
      <c r="D24" s="2" t="inlineStr">
        <is>
          <t>Из заявки создаётся один РОП с перенесёнными данными
Супер-админ превращает потенциального клиента в компанию. Имя делится на имя и фамилию, а телефон, компания и тариф заранее подставляются и могут быть исправлены.</t>
        </is>
      </c>
      <c r="E24" s="2" t="inlineStr">
        <is>
          <t>Есть новая несконвертированная заявка с двухсловным именем и уникальным телефоном.</t>
        </is>
      </c>
      <c r="F24" s="2" t="inlineStr">
        <is>
          <t>1. Открой карточку и нажми «Создать РОП из лида».
2. Проверь заранее заполненные «Имя», «Фамилия», «Телефон», «Название компании» и «Тариф».
3. Добавь уникальный «Логин (username)» и пароль из тестового .env.
4. Нажми «Создать РОП».
5. Проверь сообщение и затем раздел «РОПы».
6. Вернись в карточку заявки.</t>
        </is>
      </c>
      <c r="G24" s="2" t="inlineStr">
        <is>
          <t>Создан один РОП с проверенными данными. Показано «РОП создан, лид сконвертирован», в карточке есть время «Конвертация» и текст «РОП уже создан из этого лида».</t>
        </is>
      </c>
      <c r="H24" s="20" t="inlineStr">
        <is>
          <t>Critical</t>
        </is>
      </c>
      <c r="I24" s="3" t="inlineStr">
        <is>
          <t>Not Run</t>
        </is>
      </c>
      <c r="J24" s="2" t="inlineStr">
        <is>
          <t>web|api|positive</t>
        </is>
      </c>
    </row>
    <row r="25" ht="122.8" customHeight="1">
      <c r="A25" s="3" t="inlineStr">
        <is>
          <t>TC-331</t>
        </is>
      </c>
      <c r="B25" s="2" t="inlineStr">
        <is>
          <t>Web/API — Лендинг и сквозные пути</t>
        </is>
      </c>
      <c r="C25" s="2" t="inlineStr">
        <is>
          <t>/v1/leads/{id}/convert</t>
        </is>
      </c>
      <c r="D25" s="2" t="inlineStr">
        <is>
          <t>Сбой отметки конвертации не создаёт второго РОП
Интерфейс создаёт РОП и отдельным запросом отмечает заявку. Если второй запрос упал, заявка выглядит открытой и повтор может создать дубликат компании. Проверяем восстановление этого частичного успеха.</t>
        </is>
      </c>
      <c r="E25" s="2" t="inlineStr">
        <is>
          <t>Есть новая тестовая заявка. На staging согласован способ отказать только PATCH `/v1/leads/{id}/convert`, не ломая POST создания РОП.</t>
        </is>
      </c>
      <c r="F25" s="2" t="inlineStr">
        <is>
          <t>1. Открой создание РОП из заявки и заполни уникальные данные.
2. Включи отказ PATCH и нажми «Создать РОП».
3. Верни PATCH в нормальное состояние.
4. Проверь раздел «РОПы» и карточку заявки.
5. Если кнопка создания осталась, нажми её и попробуй завершить восстановление без нового РОП.
6. Снова проверь число РОПов с этой компанией и телефоном.</t>
        </is>
      </c>
      <c r="G25" s="2" t="inlineStr">
        <is>
          <t>Первый РОП не теряется, но интерфейс ясно сообщает о неполном завершении и позволяет повторить только отметку заявки. Второй РОП не создаётся. Если показан полный успех при открытой заявке или создаётся дубль — критический дефект согласованности.</t>
        </is>
      </c>
      <c r="H25" s="20" t="inlineStr">
        <is>
          <t>Critical</t>
        </is>
      </c>
      <c r="I25" s="3" t="inlineStr">
        <is>
          <t>Not Run</t>
        </is>
      </c>
      <c r="J25" s="2" t="inlineStr">
        <is>
          <t>web|api|negative</t>
        </is>
      </c>
    </row>
    <row r="26" ht="109.6" customHeight="1">
      <c r="A26" s="3" t="inlineStr">
        <is>
          <t>TC-332</t>
        </is>
      </c>
      <c r="B26" s="2" t="inlineStr">
        <is>
          <t>Web/API — Лендинг и сквозные пути</t>
        </is>
      </c>
      <c r="C26" s="2" t="inlineStr">
        <is>
          <t>/v1/leads/{id}/convert</t>
        </is>
      </c>
      <c r="D26" s="2" t="inlineStr">
        <is>
          <t>Сконвертированную заявку нельзя превратить во второго РОП
После успешного создания кнопка исчезает. Прямое повторение запроса также не должно перезаписывать историю или позволять незаметно сделать ещё одну компанию.</t>
        </is>
      </c>
      <c r="E26" s="2" t="inlineStr">
        <is>
          <t>Есть заявка со статусом «РОП создан» и известным временем конвертации.</t>
        </is>
      </c>
      <c r="F26" s="2" t="inlineStr">
        <is>
          <t>1. Открой карточку сконвертированной заявки.
2. Проверь отсутствие кнопки «Создать РОП из лида».
3. Обнови страницу и снова проверь карточку.
4. Через Postman повтори PATCH `/v1/leads/{id}/convert` с тем же тарифом.
5. Сравни время конвертации и количество РОПов до и после.</t>
        </is>
      </c>
      <c r="G26" s="2" t="inlineStr">
        <is>
          <t>Интерфейс показывает «РОП уже создан из этого лида», нового РОП нет. Повторный запрос безопасно отклонён или идемпотентен: первоначальная история не искажена.</t>
        </is>
      </c>
      <c r="H26" s="21" t="inlineStr">
        <is>
          <t>High</t>
        </is>
      </c>
      <c r="I26" s="3" t="inlineStr">
        <is>
          <t>Not Run</t>
        </is>
      </c>
      <c r="J26" s="2" t="inlineStr">
        <is>
          <t>web|api|negative</t>
        </is>
      </c>
    </row>
    <row r="27" ht="109.6" customHeight="1">
      <c r="A27" s="3" t="inlineStr">
        <is>
          <t>TC-333</t>
        </is>
      </c>
      <c r="B27" s="2" t="inlineStr">
        <is>
          <t>Web/API — Лендинг и сквозные пути</t>
        </is>
      </c>
      <c r="C27" s="2" t="inlineStr">
        <is>
          <t>/v1/leads</t>
        </is>
      </c>
      <c r="D27" s="2" t="inlineStr">
        <is>
          <t>Бэкенд разрешает запрос именно с адреса staging-лендинга
Лендинг и API работают на разных адресах, поэтому браузер проверяет CORS — список разрешённых источников. Неверная настройка выглядит как потеря всех заявок.</t>
        </is>
      </c>
      <c r="E27" s="2" t="inlineStr">
        <is>
          <t>Известны адреса staging-лендинга и staging API; проверка выполняется только на staging.</t>
        </is>
      </c>
      <c r="F27" s="2" t="inlineStr">
        <is>
          <t>1. Открой staging-лендинг и инструменты браузера, вкладку Network.
2. Отправь уникальную допустимую заявку.
3. Открой запрос OPTIONS, если браузер его отправил, и затем POST `/v1/leads`.
4. Проверь заголовок `Access-Control-Allow-Origin`.
5. Найди заявку в админке.</t>
        </is>
      </c>
      <c r="G27" s="2" t="inlineStr">
        <is>
          <t>Браузер не блокирует запрос по CORS. Разрешён именно адрес staging-лендинга, POST выполнен и заявка сохранена; в консоли нет ошибки `blocked by CORS policy`.</t>
        </is>
      </c>
      <c r="H27" s="20" t="inlineStr">
        <is>
          <t>Critical</t>
        </is>
      </c>
      <c r="I27" s="3" t="inlineStr">
        <is>
          <t>Not Run</t>
        </is>
      </c>
      <c r="J27" s="2" t="inlineStr">
        <is>
          <t>web|api|positive</t>
        </is>
      </c>
    </row>
    <row r="28" ht="122.8" customHeight="1">
      <c r="A28" s="3" t="inlineStr">
        <is>
          <t>TC-334</t>
        </is>
      </c>
      <c r="B28" s="2" t="inlineStr">
        <is>
          <t>Web/API — Лендинг и сквозные пути</t>
        </is>
      </c>
      <c r="C28" s="2" t="inlineStr">
        <is>
          <t>Лендинг / Demo-заявка / E2E</t>
        </is>
      </c>
      <c r="D28" s="2" t="inlineStr">
        <is>
          <t>Смена статуса сбрасывает бюджет попыток нового этапа
Проверяем риск R-9: счётчик хранится долго, но при реальном переходе лида на новый этап старые неудачные звонки не должны преждевременно отправить его в `Sifatsiz`. Повторное получение того же статуса сбросом не считается.</t>
        </is>
      </c>
      <c r="E28" s="2" t="inlineStr">
        <is>
          <t>У тестового лида в `Ko'tarmadi` ровно 3 попытки. В той же воронке есть рабочий статус `Yangi lid` или `Chala gaplashdi`.</t>
        </is>
      </c>
      <c r="F28" s="2" t="inlineStr">
        <is>
          <t>1. В AmoCRM переведи лид в другой рабочий статус и дождись синхронизации.
2. Через API или экран причины звонка проверь число попыток.
3. Выполни один тестовый недозвон и запиши новый счётчик.
4. Повтори синхронизацию того же статуса без изменения.
5. Проверь счётчик и очередь ещё раз.</t>
        </is>
      </c>
      <c r="G28" s="2" t="inlineStr">
        <is>
          <t>После настоящей смены статуса новый цикл начинается с 0, после одного недозвона счётчик равен 1. Повторная синхронизация того же статуса не обнуляет его снова и не отправляет лид в `Sifatsiz`.</t>
        </is>
      </c>
      <c r="H28" s="21" t="inlineStr">
        <is>
          <t>High</t>
        </is>
      </c>
      <c r="I28" s="3" t="inlineStr">
        <is>
          <t>Not Run</t>
        </is>
      </c>
      <c r="J28" s="2" t="inlineStr">
        <is>
          <t>web|api|boundary</t>
        </is>
      </c>
    </row>
    <row r="29" ht="96.39999999999999" customHeight="1">
      <c r="A29" s="3" t="inlineStr">
        <is>
          <t>TC-335</t>
        </is>
      </c>
      <c r="B29" s="2" t="inlineStr">
        <is>
          <t>Web/API — Лендинг и сквозные пути</t>
        </is>
      </c>
      <c r="C29" s="2" t="inlineStr">
        <is>
          <t>/v1/leads</t>
        </is>
      </c>
      <c r="D29" s="2" t="inlineStr">
        <is>
          <t>Staging-лендинг не отправляет заявки в production
Адрес API в лендинге собирается во время публикации. Ошибка окружения может незаметно создать тестовую заявку в боевой базе — это запрещено.</t>
        </is>
      </c>
      <c r="E29" s="2" t="inlineStr">
        <is>
          <t>Открыт именно staging-лендинг. Из .env известен домен staging API; production не изменяем и не используем для проверки.</t>
        </is>
      </c>
      <c r="F29" s="2" t="inlineStr">
        <is>
          <t>1. Открой инструменты браузера, вкладку Network.
2. Заполни и отправь уникальную тестовую заявку.
3. Нажми на POST-запрос и посмотри полный Request URL.
4. Сравни его с доменом staging API из .env.
5. Найди запись только в staging-админке.</t>
        </is>
      </c>
      <c r="G29" s="2" t="inlineStr">
        <is>
          <t>Request URL начинается с домена staging API и оканчивается `/v1/leads`. Production-домен нигде в запросе не используется; заявка видна на staging.</t>
        </is>
      </c>
      <c r="H29" s="20" t="inlineStr">
        <is>
          <t>Critical</t>
        </is>
      </c>
      <c r="I29" s="3" t="inlineStr">
        <is>
          <t>Not Run</t>
        </is>
      </c>
      <c r="J29" s="2" t="inlineStr">
        <is>
          <t>web|api|negative</t>
        </is>
      </c>
    </row>
    <row r="30" ht="109.6" customHeight="1">
      <c r="A30" s="3" t="inlineStr">
        <is>
          <t>TC-336</t>
        </is>
      </c>
      <c r="B30" s="2" t="inlineStr">
        <is>
          <t>Web/API — Лендинг и сквозные пути</t>
        </is>
      </c>
      <c r="C30" s="2" t="inlineStr">
        <is>
          <t>Лендинг / Demo-заявка / E2E</t>
        </is>
      </c>
      <c r="D30" s="2" t="inlineStr">
        <is>
          <t>Staging-админка не использует production по умолчанию
В коде админки есть запасной production URL, если `VITE_SERVER_URL` не задан. Приёмка публикации должна поймать такую ошибку до любых ручных или автоматических тестов.</t>
        </is>
      </c>
      <c r="E30" s="2" t="inlineStr">
        <is>
          <t>Открыта staging-админка. Из .env известен ожидаемый домен staging API.</t>
        </is>
      </c>
      <c r="F30" s="2" t="inlineStr">
        <is>
          <t>1. До ввода пароля открой вкладку Network и очисти список запросов.
2. Войди тестовой учётной записью staging.
3. Открой «Звонки», «Операторы» или другой доступный раздел.
4. Проверь Request URL запросов входа и данных.
5. Сравни домен с {STAGE_API_URL} из .env.</t>
        </is>
      </c>
      <c r="G30" s="2" t="inlineStr">
        <is>
          <t>Все запросы админки идут только на staging API. При отсутствии корректного `VITE_SERVER_URL` публикация считается заблокированной; production не получает тестовые входы и изменения.</t>
        </is>
      </c>
      <c r="H30" s="20" t="inlineStr">
        <is>
          <t>Critical</t>
        </is>
      </c>
      <c r="I30" s="3" t="inlineStr">
        <is>
          <t>Not Run</t>
        </is>
      </c>
      <c r="J30" s="2" t="inlineStr">
        <is>
          <t>web|api|negative</t>
        </is>
      </c>
    </row>
    <row r="31" ht="109.6" customHeight="1">
      <c r="A31" s="3" t="inlineStr">
        <is>
          <t>TC-337</t>
        </is>
      </c>
      <c r="B31" s="2" t="inlineStr">
        <is>
          <t>Web/API — Лендинг и сквозные пути</t>
        </is>
      </c>
      <c r="C31" s="2" t="inlineStr">
        <is>
          <t>Лендинг / Demo-заявка / E2E</t>
        </is>
      </c>
      <c r="D31" s="2" t="inlineStr">
        <is>
          <t>Известный пароль разработки не открывает root на staging
Если `SUPERADMIN_PASSWORD` не задан при первом запуске, сервер создаёт `root` с известным небезопасным паролем. Проверяем риск R-5 без записи самого значения в Excel или журналы.</t>
        </is>
      </c>
      <c r="E31" s="2" t="inlineStr">
        <is>
          <t>Значение известного пароля разработки хранится у QA Lead в защищённом .env или менеджере секретов. Открыта страница входа staging, production не используется.</t>
        </is>
      </c>
      <c r="F31" s="2" t="inlineStr">
        <is>
          <t>1. Убедись у DevOps, что для staging задан `SUPERADMIN_PASSWORD`, не спрашивая его значение.
2. В поле «Логин» введи `root`.
3. В поле «Пароль» вставь плейсхолдер `{ИЗВЕСТНЫЙ_DEV_ПАРОЛЬ}` из защищённого хранилища.
4. Нажми «Войти».
5. Проверь журнал старта staging на предупреждение о небезопасном пароле, не копируя секреты.</t>
        </is>
      </c>
      <c r="G31" s="2" t="inlineStr">
        <is>
          <t>Вход с известным паролем разработки отклонён, в журнале текущего запуска нет предупреждения `SUPERADMIN_PASSWORD not set`. Настоящий пароль нигде не показан и не записан в кейсе.</t>
        </is>
      </c>
      <c r="H31" s="20" t="inlineStr">
        <is>
          <t>Critical</t>
        </is>
      </c>
      <c r="I31" s="3" t="inlineStr">
        <is>
          <t>Not Run</t>
        </is>
      </c>
      <c r="J31" s="2" t="inlineStr">
        <is>
          <t>web|api|negative</t>
        </is>
      </c>
    </row>
  </sheetData>
  <autoFilter ref="A1:J31"/>
  <conditionalFormatting sqref="I2:I6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1" showDropDown="0" showInputMessage="0" showErrorMessage="0" allowBlank="1" errorTitle="Недопустимое значение" error="Выбери значение из списка: Critical, High, Medium, Low" type="list">
      <formula1>"Critical,High,Medium,Low"</formula1>
    </dataValidation>
    <dataValidation sqref="I2:I6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TC-338</t>
        </is>
      </c>
      <c r="B2" s="2" t="inlineStr">
        <is>
          <t>Будущий релиз — Отложенные функции</t>
        </is>
      </c>
      <c r="C2" s="2" t="inlineStr">
        <is>
          <t>Функции вне текущего релиза</t>
        </is>
      </c>
      <c r="D2" s="2" t="inlineStr">
        <is>
          <t>Перенос визита на завтра возвращает лид в Uchrashuv
Утверждённое правило: если встречу из сегодняшнего дня перенесли на завтра или позже, лид больше не считается сегодняшним и возвращается в поток `Uchrashuv`.</t>
        </is>
      </c>
      <c r="E2" s="2" t="inlineStr">
        <is>
          <t>Функция переноса визита реализована и выложена на staging. Есть лид в `Bugun keladi` со встречей сегодня; известен поддерживаемый релизом способ изменить время.</t>
        </is>
      </c>
      <c r="F2" s="2" t="inlineStr">
        <is>
          <t>1. Запиши текущий статус и время встречи лида.
2. Перенеси встречу на завтра в то же местное время.
3. Дождись синхронизации Operator AI с AmoCRM.
4. Обнови карточку и очередь назначенного оператора.
5. Проверь историю статусов в AmoCRM.</t>
        </is>
      </c>
      <c r="G2" s="2" t="inlineStr">
        <is>
          <t>Время встречи обновлено, лид один раз перешёл назад в статус класса `Uchrashuv` той же воронки и исчез из сегодняшней очереди. Другие поля не потеряны.</t>
        </is>
      </c>
      <c r="H2" s="20" t="inlineStr">
        <is>
          <t>Critical</t>
        </is>
      </c>
      <c r="I2" s="3" t="inlineStr">
        <is>
          <t>Blocked</t>
        </is>
      </c>
      <c r="J2" s="2" t="inlineStr">
        <is>
          <t>web|api|positive</t>
        </is>
      </c>
    </row>
    <row r="3" ht="109.6" customHeight="1">
      <c r="A3" s="3" t="inlineStr">
        <is>
          <t>TC-339</t>
        </is>
      </c>
      <c r="B3" s="2" t="inlineStr">
        <is>
          <t>Будущий релиз — Отложенные функции</t>
        </is>
      </c>
      <c r="C3" s="2" t="inlineStr">
        <is>
          <t>Функции вне текущего релиза</t>
        </is>
      </c>
      <c r="D3" s="2" t="inlineStr">
        <is>
          <t>Перенос визита внутри сегодня перезапускает Bugun keladi
Если меняется только час сегодняшнего визита, лид остаётся в сегодняшнем потоке, но его доступность пересчитывается относительно нового времени.</t>
        </is>
      </c>
      <c r="E3" s="2" t="inlineStr">
        <is>
          <t>Функция выложена на staging. Есть лид `Bugun keladi` со встречей сегодня и настроено правило звонить за известное число минут до прихода.</t>
        </is>
      </c>
      <c r="F3" s="2" t="inlineStr">
        <is>
          <t>1. Запиши старое время визита и момент, когда лид должен попасть в очередь.
2. Перенеси визит на более поздний час сегодня.
3. Дождись синхронизации.
4. Проверь статус, новое время и очередь до новой границы.
5. После наступления границы снова проверь очередь.</t>
        </is>
      </c>
      <c r="G3" s="2" t="inlineStr">
        <is>
          <t>Лид остаётся или заново переводится в `Bugun keladi`, старое время больше не влияет. До новой границы его нет в очереди, после границы он появляется один раз.</t>
        </is>
      </c>
      <c r="H3" s="20" t="inlineStr">
        <is>
          <t>Critical</t>
        </is>
      </c>
      <c r="I3" s="3" t="inlineStr">
        <is>
          <t>Blocked</t>
        </is>
      </c>
      <c r="J3" s="2" t="inlineStr">
        <is>
          <t>web|api|boundary</t>
        </is>
      </c>
    </row>
    <row r="4" ht="109.6" customHeight="1">
      <c r="A4" s="3" t="inlineStr">
        <is>
          <t>TC-340</t>
        </is>
      </c>
      <c r="B4" s="2" t="inlineStr">
        <is>
          <t>Будущий релиз — Отложенные функции</t>
        </is>
      </c>
      <c r="C4" s="2" t="inlineStr">
        <is>
          <t>Функции вне текущего релиза</t>
        </is>
      </c>
      <c r="D4" s="2" t="inlineStr">
        <is>
          <t>Повтор одной и той же даты не запускает бесконечные переходы
Синхронизация и вебхук могут несколько раз принести одинаковое время. Повтор не должен качать лид между `Uchrashuv` и `Bugun keladi` или создавать одинаковые записи.</t>
        </is>
      </c>
      <c r="E4" s="2" t="inlineStr">
        <is>
          <t>Функция переноса выложена. Тестовый лид уже успешно обработал одно изменение времени.</t>
        </is>
      </c>
      <c r="F4" s="2" t="inlineStr">
        <is>
          <t>1. Запиши текущие статус, время встречи и историю изменений.
2. Трижды отправь или синхронизируй то же самое время без новых изменений.
3. Дождись двух фоновых проходов.
4. Проверь Operator AI, AmoCRM и очередь.</t>
        </is>
      </c>
      <c r="G4" s="2" t="inlineStr">
        <is>
          <t>Статус и очередь не дёргаются повторно, в истории нет одинаковых автоматических переходов, лид не дублируется и не захватывается несколько раз.</t>
        </is>
      </c>
      <c r="H4" s="21" t="inlineStr">
        <is>
          <t>High</t>
        </is>
      </c>
      <c r="I4" s="3" t="inlineStr">
        <is>
          <t>Blocked</t>
        </is>
      </c>
      <c r="J4" s="2" t="inlineStr">
        <is>
          <t>web|api|negative</t>
        </is>
      </c>
    </row>
    <row r="5" ht="96.39999999999999" customHeight="1">
      <c r="A5" s="3" t="inlineStr">
        <is>
          <t>TC-341</t>
        </is>
      </c>
      <c r="B5" s="2" t="inlineStr">
        <is>
          <t>Будущий релиз — Отложенные функции</t>
        </is>
      </c>
      <c r="C5" s="2" t="inlineStr">
        <is>
          <t>Функции вне текущего релиза</t>
        </is>
      </c>
      <c r="D5" s="2" t="inlineStr">
        <is>
          <t>Граница сегодня и завтра считается по Ташкенту
Решение зависит от календарного дня. Около полуночи UTC-дата и местная дата различаются, поэтому сравнение должно использовать `Asia/Tashkent`.</t>
        </is>
      </c>
      <c r="E5" s="2" t="inlineStr">
        <is>
          <t>Функция выложена. Можно выполнить тест около 00:00 Ташкента или использовать контролируемое время staging.</t>
        </is>
      </c>
      <c r="F5" s="2" t="inlineStr">
        <is>
          <t>1. Подготовь лид со встречей незадолго до местной полуночи.
2. Перенеси её на время сразу после 00:00 по Ташкенту.
3. Дождись обработки и запиши местные дату и время.
4. Проверь выбранный поток и очередь.</t>
        </is>
      </c>
      <c r="G5" s="2" t="inlineStr">
        <is>
          <t>Время после 00:00 считается следующим днём по Ташкенту, поэтому лид возвращается в `Uchrashuv`, а не остаётся в сегодняшнем `Bugun keladi`.</t>
        </is>
      </c>
      <c r="H5" s="20" t="inlineStr">
        <is>
          <t>Critical</t>
        </is>
      </c>
      <c r="I5" s="3" t="inlineStr">
        <is>
          <t>Blocked</t>
        </is>
      </c>
      <c r="J5" s="2" t="inlineStr">
        <is>
          <t>web|api|boundary</t>
        </is>
      </c>
    </row>
    <row r="6" ht="96.39999999999999" customHeight="1">
      <c r="A6" s="3" t="inlineStr">
        <is>
          <t>TC-342</t>
        </is>
      </c>
      <c r="B6" s="2" t="inlineStr">
        <is>
          <t>Будущий релиз — Отложенные функции</t>
        </is>
      </c>
      <c r="C6" s="2" t="inlineStr">
        <is>
          <t>Функции вне текущего релиза</t>
        </is>
      </c>
      <c r="D6" s="2" t="inlineStr">
        <is>
          <t>Поле оплаты заполняется человеком и сохраняет три состояния
Утверждено ручное поле «оплатил / не оплатил». До решения человека оно не должно угадываться; после выбора значение сохраняется и синхронизируется.</t>
        </is>
      </c>
      <c r="E6" s="2" t="inlineStr">
        <is>
          <t>Поле оплаты реализовано и выложено на staging. Есть тестовый лид в `Markazga keldi`.</t>
        </is>
      </c>
      <c r="F6" s="2" t="inlineStr">
        <is>
          <t>1. Открой карточку лида и найди поле оплаты.
2. Проверь исходное состояние «не выбрано».
3. Выбери «Не оплатил» и сохрани.
4. Обнови страницу и дождись синхронизации с AmoCRM.
5. Смени значение на «Оплатил» и повтори проверку.</t>
        </is>
      </c>
      <c r="G6" s="2" t="inlineStr">
        <is>
          <t>Поле различает «не выбрано», «Не оплатил» и «Оплатил». Выбор сохраняется после обновления и одинаково отображается в Operator AI и AmoCRM; другие поля не меняются.</t>
        </is>
      </c>
      <c r="H6" s="21" t="inlineStr">
        <is>
          <t>High</t>
        </is>
      </c>
      <c r="I6" s="3" t="inlineStr">
        <is>
          <t>Blocked</t>
        </is>
      </c>
      <c r="J6" s="2" t="inlineStr">
        <is>
          <t>web|api|positive</t>
        </is>
      </c>
    </row>
    <row r="7" ht="96.39999999999999" customHeight="1">
      <c r="A7" s="3" t="inlineStr">
        <is>
          <t>TC-343</t>
        </is>
      </c>
      <c r="B7" s="2" t="inlineStr">
        <is>
          <t>Будущий релиз — Отложенные функции</t>
        </is>
      </c>
      <c r="C7" s="2" t="inlineStr">
        <is>
          <t>Функции вне текущего релиза</t>
        </is>
      </c>
      <c r="D7" s="2" t="inlineStr">
        <is>
          <t>AI и повторная синхронизация не меняют ручной признак оплаты
Поле объявлено ручным. Текст разговора или старые данные синхронизации не должны самостоятельно поставить или стереть факт оплаты.</t>
        </is>
      </c>
      <c r="E7" s="2" t="inlineStr">
        <is>
          <t>Функция выложена. У тестового лида человек выбрал «Оплатил»; есть тестовая запись разговора со словами про оплату и доступна повторная синхронизация.</t>
        </is>
      </c>
      <c r="F7" s="2" t="inlineStr">
        <is>
          <t>1. Запусти AI-анализ тестового звонка этого лида.
2. Не подтверждай изменение поля оплаты вручную.
3. Запусти повторную синхронизацию с AmoCRM.
4. Обнови карточку и проверь историю изменения поля.</t>
        </is>
      </c>
      <c r="G7" s="2" t="inlineStr">
        <is>
          <t>Ручное значение «Оплатил» сохранилось. AI не предлагает и не записывает это поле, повторная синхронизация не стирает выбор без реального изменения человеком.</t>
        </is>
      </c>
      <c r="H7" s="21" t="inlineStr">
        <is>
          <t>High</t>
        </is>
      </c>
      <c r="I7" s="3" t="inlineStr">
        <is>
          <t>Blocked</t>
        </is>
      </c>
      <c r="J7" s="2" t="inlineStr">
        <is>
          <t>web|api|negative</t>
        </is>
      </c>
    </row>
    <row r="8" ht="109.6" customHeight="1">
      <c r="A8" s="3" t="inlineStr">
        <is>
          <t>TC-344</t>
        </is>
      </c>
      <c r="B8" s="2" t="inlineStr">
        <is>
          <t>Будущий релиз — Отложенные функции</t>
        </is>
      </c>
      <c r="C8" s="2" t="inlineStr">
        <is>
          <t>Функции вне текущего релиза</t>
        </is>
      </c>
      <c r="D8" s="2" t="inlineStr">
        <is>
          <t>Неоплативший клиент возвращается точно к назначенному звонку
Ключевой будущий путь: сотрудник центра отмечает «Не оплатил» и ставит время следующего звонка в AmoCRM; до этого времени лид не беспокоит операторов.</t>
        </is>
      </c>
      <c r="E8" s="2" t="inlineStr">
        <is>
          <t>Поле оплаты реализовано. Есть лид `Markazga keldi`, сотрудник тестового центра может изменять его в AmoCRM, оператор назначен на воронку.</t>
        </is>
      </c>
      <c r="F8" s="2" t="inlineStr">
        <is>
          <t>1. В AmoCRM выбери «Не оплатил» и поставь время следующего звонка через 10 минут.
2. Дождись синхронизации в Operator AI.
3. За минуту до времени проверь очередь оператора.
4. После наступления времени дождись обновления очереди.
5. Получи лид и проверь причину звонка.</t>
        </is>
      </c>
      <c r="G8" s="2" t="inlineStr">
        <is>
          <t>До назначенного времени лида нет в очереди. После наступления он появляется один раз с правильной причиной и временем; отметка «Не оплатил» сохранена.</t>
        </is>
      </c>
      <c r="H8" s="20" t="inlineStr">
        <is>
          <t>Critical</t>
        </is>
      </c>
      <c r="I8" s="3" t="inlineStr">
        <is>
          <t>Blocked</t>
        </is>
      </c>
      <c r="J8" s="2" t="inlineStr">
        <is>
          <t>web|api|positive</t>
        </is>
      </c>
    </row>
    <row r="9" ht="96.39999999999999" customHeight="1">
      <c r="A9" s="3" t="inlineStr">
        <is>
          <t>TC-345</t>
        </is>
      </c>
      <c r="B9" s="2" t="inlineStr">
        <is>
          <t>Будущий релиз — Отложенные функции</t>
        </is>
      </c>
      <c r="C9" s="2" t="inlineStr">
        <is>
          <t>Функции вне текущего релиза</t>
        </is>
      </c>
      <c r="D9" s="2" t="inlineStr">
        <is>
          <t>Неверное значение оплаты не сохраняется свободным текстом
Прямой запрос не должен записать `maybe`, число или пустую строку как четвёртое состояние. Отчёты и фильтры должны опираться на фиксированные значения.</t>
        </is>
      </c>
      <c r="E9" s="2" t="inlineStr">
        <is>
          <t>Функция выложена; известен новый endpoint или поле API из OpenAPI staging.</t>
        </is>
      </c>
      <c r="F9" s="2" t="inlineStr">
        <is>
          <t>1. В Postman скопируй допустимый запрос изменения поля оплаты.
2. Замени значение на `maybe` и отправь.
3. Повтори с числом и с пробелами.
4. Обнови карточку лида и AmoCRM.</t>
        </is>
      </c>
      <c r="G9" s="2" t="inlineStr">
        <is>
          <t>Сервер отвечает 400/422, объясняет допустимые варианты и не меняет прежнее значение. В интерфейсе не появляется неизвестное четвёртое состояние.</t>
        </is>
      </c>
      <c r="H9" s="21" t="inlineStr">
        <is>
          <t>High</t>
        </is>
      </c>
      <c r="I9" s="3" t="inlineStr">
        <is>
          <t>Blocked</t>
        </is>
      </c>
      <c r="J9" s="2" t="inlineStr">
        <is>
          <t>api|negative</t>
        </is>
      </c>
    </row>
    <row r="10" ht="96.39999999999999" customHeight="1">
      <c r="A10" s="3" t="inlineStr">
        <is>
          <t>TC-346</t>
        </is>
      </c>
      <c r="B10" s="2" t="inlineStr">
        <is>
          <t>Будущий релиз — Отложенные функции</t>
        </is>
      </c>
      <c r="C10" s="2" t="inlineStr">
        <is>
          <t>Функции вне текущего релиза</t>
        </is>
      </c>
      <c r="D10" s="2" t="inlineStr">
        <is>
          <t>Карточка интеграций показывает время последней синхронизации
Утверждённая карточка должна отвечать на простой вопрос: когда система в последний раз успешно обменивалась данными с AmoCRM и OnlinePBX.</t>
        </is>
      </c>
      <c r="E10" s="2" t="inlineStr">
        <is>
          <t>Карточка состояния интеграций реализована и выложена; команда указала раздел и роли, которые её видят. Настроены тестовые AmoCRM и OnlinePBX.</t>
        </is>
      </c>
      <c r="F10" s="2" t="inlineStr">
        <is>
          <t>1. Открой карточку состояния интеграций.
2. Запиши время последней синхронизации AmoCRM и OnlinePBX.
3. Запусти безопасную тестовую синхронизацию.
4. Обнови карточку без перезагрузки или один раз перезагрузи страницу.
5. Сравни время с журналом выполнения на staging.</t>
        </is>
      </c>
      <c r="G10" s="2" t="inlineStr">
        <is>
          <t>Для каждой интеграции отдельно показано понятное местное время последнего успешного обмена. После синхронизации оно обновилось и совпадает с журналом в разумном допуске.</t>
        </is>
      </c>
      <c r="H10" s="21" t="inlineStr">
        <is>
          <t>High</t>
        </is>
      </c>
      <c r="I10" s="3" t="inlineStr">
        <is>
          <t>Blocked</t>
        </is>
      </c>
      <c r="J10" s="2" t="inlineStr">
        <is>
          <t>web|api|positive</t>
        </is>
      </c>
    </row>
    <row r="11" ht="109.6" customHeight="1">
      <c r="A11" s="3" t="inlineStr">
        <is>
          <t>TC-347</t>
        </is>
      </c>
      <c r="B11" s="2" t="inlineStr">
        <is>
          <t>Будущий релиз — Отложенные функции</t>
        </is>
      </c>
      <c r="C11" s="2" t="inlineStr">
        <is>
          <t>Функции вне текущего релиза</t>
        </is>
      </c>
      <c r="D11" s="2" t="inlineStr">
        <is>
          <t>Карточка отличает рабочий вебхук от недоступного
Состояние вебхука нельзя показывать зелёным только потому, что конфигурация существует. Проверяем реальное получение события и понятное предупреждение при отказе.</t>
        </is>
      </c>
      <c r="E11" s="2" t="inlineStr">
        <is>
          <t>Карточка выложена. На staging можно безопасно выключить и вернуть тестовый вебхук AmoCRM или OnlinePBX.</t>
        </is>
      </c>
      <c r="F11" s="2" t="inlineStr">
        <is>
          <t>1. При рабочем вебхуке отправь одно тестовое событие и открой карточку.
2. Запиши состояние и время последнего события.
3. Временно выключи тестовый вебхук и дождись установленного порога.
4. Обнови карточку и прочитай предупреждение.
5. Верни вебхук, отправь событие и снова обнови карточку.</t>
        </is>
      </c>
      <c r="G11" s="2" t="inlineStr">
        <is>
          <t>Рабочий вебхук отмечен как исправный с актуальным временем. После отказа состояние меняется на предупреждение или ошибку и объясняет действие; после восстановления возвращается в норму без ручной правки базы.</t>
        </is>
      </c>
      <c r="H11" s="20" t="inlineStr">
        <is>
          <t>Critical</t>
        </is>
      </c>
      <c r="I11" s="3" t="inlineStr">
        <is>
          <t>Blocked</t>
        </is>
      </c>
      <c r="J11" s="2" t="inlineStr">
        <is>
          <t>web|api|negative</t>
        </is>
      </c>
    </row>
    <row r="12" ht="109.6" customHeight="1">
      <c r="A12" s="3" t="inlineStr">
        <is>
          <t>TC-348</t>
        </is>
      </c>
      <c r="B12" s="2" t="inlineStr">
        <is>
          <t>Будущий релиз — Отложенные функции</t>
        </is>
      </c>
      <c r="C12" s="2" t="inlineStr">
        <is>
          <t>Функции вне текущего релиза</t>
        </is>
      </c>
      <c r="D12" s="2" t="inlineStr">
        <is>
          <t>Зависшие звонки видны и исчезают после обработки
Карточка должна показывать звонки, которые не прошли ожидаемую обработку, а не только общий зелёный индикатор. Это защищает от молчаливой потери AI-анализа.</t>
        </is>
      </c>
      <c r="E12" s="2" t="inlineStr">
        <is>
          <t>Карточка выложена. На staging создан один безопасный звонок, остановленный на известном этапе обработки дольше установленного порога.</t>
        </is>
      </c>
      <c r="F12" s="2" t="inlineStr">
        <is>
          <t>1. Открой карточку и найди показатель «зависшие звонки».
2. Сравни число и идентификатор с тестовым событием через API.
3. Не показывая секретов, открой доступные детали причины.
4. Возобнови или повтори обработку звонка.
5. Обнови карточку после успешного завершения.</t>
        </is>
      </c>
      <c r="G12" s="2" t="inlineStr">
        <is>
          <t>Зависший тестовый звонок учтён один раз и имеет понятный этап/причину. После успешной обработки он исчезает из активного числа, но при наличии истории не стирается бесследно.</t>
        </is>
      </c>
      <c r="H12" s="20" t="inlineStr">
        <is>
          <t>Critical</t>
        </is>
      </c>
      <c r="I12" s="3" t="inlineStr">
        <is>
          <t>Blocked</t>
        </is>
      </c>
      <c r="J12" s="2" t="inlineStr">
        <is>
          <t>web|api|positive</t>
        </is>
      </c>
    </row>
    <row r="13" ht="109.6" customHeight="1">
      <c r="A13" s="3" t="inlineStr">
        <is>
          <t>TC-349</t>
        </is>
      </c>
      <c r="B13" s="2" t="inlineStr">
        <is>
          <t>Будущий релиз — Отложенные функции</t>
        </is>
      </c>
      <c r="C13" s="2" t="inlineStr">
        <is>
          <t>Функции вне текущего релиза</t>
        </is>
      </c>
      <c r="D13" s="2" t="inlineStr">
        <is>
          <t>Состояние интеграций изолировано и не раскрывает секреты
Диагностика содержит технические данные разных клиентов. РОП не должен видеть здоровье чужой компании, а токены, ключи и полные секретные адреса не нужны даже супер-админу.</t>
        </is>
      </c>
      <c r="E13" s="2" t="inlineStr">
        <is>
          <t>Карточка выложена. Есть РОП-А и РОП-Б с разным состоянием интеграций и тестовые учётные записи разрешённых ролей.</t>
        </is>
      </c>
      <c r="F13" s="2" t="inlineStr">
        <is>
          <t>1. Войди под РОП-А и открой доступную ему карточку, если роль поддержана.
2. Попробуй запросить через API состояние РОП-Б, подставив его ID.
3. Под супер-админом открой обе карточки.
4. Проверь экран, ответ API и безопасные журналы браузера на токены, ключи и пароли.</t>
        </is>
      </c>
      <c r="G13" s="2" t="inlineStr">
        <is>
          <t>РОП видит только свою компанию либо получает 403/404 на чужую. Супер-админ видит раздельные состояния, но ответы не содержат `client_secret`, access/refresh token, API key или полный webhook token.</t>
        </is>
      </c>
      <c r="H13" s="20" t="inlineStr">
        <is>
          <t>Critical</t>
        </is>
      </c>
      <c r="I13" s="3" t="inlineStr">
        <is>
          <t>Blocked</t>
        </is>
      </c>
      <c r="J13" s="2" t="inlineStr">
        <is>
          <t>web|api|negative</t>
        </is>
      </c>
    </row>
    <row r="14" ht="96.39999999999999" customHeight="1">
      <c r="A14" s="3" t="inlineStr">
        <is>
          <t>TC-350</t>
        </is>
      </c>
      <c r="B14" s="2" t="inlineStr">
        <is>
          <t>Будущий релиз — Отложенные функции</t>
        </is>
      </c>
      <c r="C14" s="2" t="inlineStr">
        <is>
          <t>Функции вне текущего релиза</t>
        </is>
      </c>
      <c r="D14" s="2" t="inlineStr">
        <is>
          <t>Сбой карточки не останавливает звонки и синхронизацию
Диагностический экран наблюдает за системой, но не должен становиться новой причиной отказа основных интеграций.</t>
        </is>
      </c>
      <c r="E14" s="2" t="inlineStr">
        <is>
          <t>Карточка выложена. На staging можно безопасно отказать только её endpoint или хранилище метрик, не выключая AmoCRM и OnlinePBX.</t>
        </is>
      </c>
      <c r="F14" s="2" t="inlineStr">
        <is>
          <t>1. Запиши рабочее состояние тестовой синхронизации и звонка.
2. Включи отказ только карточки здоровья.
3. Открой карточку и прочитай ошибку.
4. Выполни тестовую синхронизацию и обработай один тестовый звонок.
5. Верни карточку и обнови страницу.</t>
        </is>
      </c>
      <c r="G14" s="2" t="inlineStr">
        <is>
          <t>Карточка показывает понятную ошибку без ложного зелёного состояния. Основные синхронизация и звонок продолжают работать; после восстановления актуальные показатели загружаются без перезапуска продукта.</t>
        </is>
      </c>
      <c r="H14" s="21" t="inlineStr">
        <is>
          <t>High</t>
        </is>
      </c>
      <c r="I14" s="3" t="inlineStr">
        <is>
          <t>Blocked</t>
        </is>
      </c>
      <c r="J14" s="2" t="inlineStr">
        <is>
          <t>web|api|negative</t>
        </is>
      </c>
    </row>
  </sheetData>
  <autoFilter ref="A1:J14"/>
  <conditionalFormatting sqref="I2:I4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44" showDropDown="0" showInputMessage="0" showErrorMessage="0" allowBlank="1" errorTitle="Недопустимое значение" error="Выбери значение из списка: Critical, High, Medium, Low" type="list">
      <formula1>"Critical,High,Medium,Low"</formula1>
    </dataValidation>
    <dataValidation sqref="I2:I4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TC-351</t>
        </is>
      </c>
      <c r="B2" s="2" t="inlineStr">
        <is>
          <t>Web/API — Решения диаграмм 25.07</t>
        </is>
      </c>
      <c r="C2" s="2" t="inlineStr">
        <is>
          <t>Жизненный цикл лида</t>
        </is>
      </c>
      <c r="D2" s="2" t="inlineStr">
        <is>
          <t>Недозвон не запускает набор второго номера контакта
Красная отмена E5: номер OnlinePBX в карточке контакта не является запасным номером клиента. В рамках попытки система должна набрать только собственный номер лида.</t>
        </is>
      </c>
      <c r="E2" s="2" t="inlineStr">
        <is>
          <t>Только staging. У тестового лида первый телефон принадлежит тестовому абоненту и не ответит; вторым в `contact_phones` записан контролируемый номер OnlinePBX. Есть доступ к журналу вызовов тестовой телефонии.</t>
        </is>
      </c>
      <c r="F2" s="2" t="inlineStr">
        <is>
          <t>1. Запиши оба телефона лида и очисти журнал тестовых вызовов.
2. Запусти один звонок из браузера и не отвечай на первом номере.
3. Дождись окончания попытки и перехода к экрану результата.
4. Проверь уведомления интерфейса и журнал исходящих вызовов OnlinePBX.
5. Убедись, что счётчик попыток увеличился ровно на один.</t>
        </is>
      </c>
      <c r="G2" s="2" t="inlineStr">
        <is>
          <t>Создан ровно один исходящий вызов — только на собственный номер лида. Уведомления о переходе на второй номер нет; номер OnlinePBX не набран; засчитана одна попытка.</t>
        </is>
      </c>
      <c r="H2" s="20" t="inlineStr">
        <is>
          <t>Critical</t>
        </is>
      </c>
      <c r="I2" s="3" t="inlineStr">
        <is>
          <t>Not Run</t>
        </is>
      </c>
      <c r="J2" s="2" t="inlineStr">
        <is>
          <t>web|api|negative</t>
        </is>
      </c>
    </row>
    <row r="3" ht="109.6" customHeight="1">
      <c r="A3" s="3" t="inlineStr">
        <is>
          <t>TC-352</t>
        </is>
      </c>
      <c r="B3" s="2" t="inlineStr">
        <is>
          <t>Web/API — Решения диаграмм 25.07</t>
        </is>
      </c>
      <c r="C3" s="2" t="inlineStr">
        <is>
          <t>Жизненный цикл лида</t>
        </is>
      </c>
      <c r="D3" s="2" t="inlineStr">
        <is>
          <t>Недозвон не меняет статус AmoCRM автоматически
Красная отмена E4: неответ увеличивает внутренний счётчик, но сам по себе не разрешает выбрать и отправить `Ko'tarmadi` в AmoCRM.</t>
        </is>
      </c>
      <c r="E3" s="2" t="inlineStr">
        <is>
          <t>Только staging. Есть лид с известным исходным статусом, нулём попыток и неотвечающим тестовым номером. Автосинхронизация результата включена на 20 секунд.</t>
        </is>
      </c>
      <c r="F3" s="2" t="inlineStr">
        <is>
          <t>1. Запиши статус лида в Operator AI и AmoCRM.
2. Запусти звонок и не отвечай.
3. На экране результата ничего не выбирай и не редактируй.
4. Дождись истечения 20 секунд и полной синхронизации.
5. Сравни статус в обеих системах и проверь `attempts_count` через API.</t>
        </is>
      </c>
      <c r="G3" s="2" t="inlineStr">
        <is>
          <t>Статус лида в Operator AI и AmoCRM остался исходным; `Ko'tarmadi` не был предвыбран или отправлен автоматически. Внутренний счётчик вырос ровно на один.</t>
        </is>
      </c>
      <c r="H3" s="20" t="inlineStr">
        <is>
          <t>Critical</t>
        </is>
      </c>
      <c r="I3" s="3" t="inlineStr">
        <is>
          <t>Not Run</t>
        </is>
      </c>
      <c r="J3" s="2" t="inlineStr">
        <is>
          <t>web|api|negative</t>
        </is>
      </c>
    </row>
    <row r="4" ht="122.8" customHeight="1">
      <c r="A4" s="3" t="inlineStr">
        <is>
          <t>TC-353</t>
        </is>
      </c>
      <c r="B4" s="2" t="inlineStr">
        <is>
          <t>Web/API — Решения диаграмм 25.07</t>
        </is>
      </c>
      <c r="C4" s="2" t="inlineStr">
        <is>
          <t>Жизненный цикл лида</t>
        </is>
      </c>
      <c r="D4" s="2" t="inlineStr">
        <is>
          <t>Поле Operator заполняется вошедшим оператором, а не именем из аудио
Синее правило E6: автора звонка система знает из сессии. Упоминание другого имени в разговоре не должно менять поле Operator или отправлять лид в `Chala`.</t>
        </is>
      </c>
      <c r="E4" s="2" t="inlineStr">
        <is>
          <t>В AmoCRM-группе `Operator AI` есть select-поле Operator с вариантами для Оператора-А и Оператора-Б. Вход выполнен под Оператором-А; в тестовой записи явно назван Оператор-Б.</t>
        </is>
      </c>
      <c r="F4" s="2" t="inlineStr">
        <is>
          <t>1. Запусти звонок под Оператором-А.
2. В разговоре произнеси имя Оператора-Б и заверши содержательный разговор.
3. Дождись AI-анализа и открой форму подтверждения.
4. Проверь значение поля Operator и предложенный статус.
5. Подтверди результат и проверь значение поля в AmoCRM.</t>
        </is>
      </c>
      <c r="G4" s="2" t="inlineStr">
        <is>
          <t>До и после синхронизации поле Operator равно Оператору-А. Имя Оператора-Б из аудио его не заменило; только из-за этого поля статус `Chala gaplashdi` не поставлен.</t>
        </is>
      </c>
      <c r="H4" s="20" t="inlineStr">
        <is>
          <t>Critical</t>
        </is>
      </c>
      <c r="I4" s="3" t="inlineStr">
        <is>
          <t>Not Run</t>
        </is>
      </c>
      <c r="J4" s="2" t="inlineStr">
        <is>
          <t>web|api|negative</t>
        </is>
      </c>
    </row>
    <row r="5" ht="122.8" customHeight="1">
      <c r="A5" s="3" t="inlineStr">
        <is>
          <t>TC-354</t>
        </is>
      </c>
      <c r="B5" s="2" t="inlineStr">
        <is>
          <t>Web/API — Решения диаграмм 25.07</t>
        </is>
      </c>
      <c r="C5" s="2" t="inlineStr">
        <is>
          <t>Жизненный цикл лида</t>
        </is>
      </c>
      <c r="D5" s="2" t="inlineStr">
        <is>
          <t>Разные воронки сохраняют собственные статусы и поля Operator AI
Красные решения E12/E3 отменяют одну общую форму для всех pipeline. Система должна зеркалить статусы и группу полей отдельно для каждой воронки одного ROP.</t>
        </is>
      </c>
      <c r="E5" s="2" t="inlineStr">
        <is>
          <t>Только staging. У одного ROP выбраны две воронки AmoCRM. В первой группа `Operator AI` содержит уникальное поле `Филиал`, во второй — уникальное поле `Курс`; названия и ID статусов также различаются.</t>
        </is>
      </c>
      <c r="F5" s="2" t="inlineStr">
        <is>
          <t>1. Запусти синхронизацию обеих воронок.
2. Открой лид первой воронки и запиши доступные статусы и поля формы.
3. Открой лид второй воронки и запиши доступные статусы и поля формы.
4. В первой заполни `Филиал`, во второй — `Курс`, затем подтверди оба результата.
5. Проверь через API и AmoCRM, куда записались значения и статусы.</t>
        </is>
      </c>
      <c r="G5" s="2" t="inlineStr">
        <is>
          <t>Первая воронка показывает и обновляет только свой статус и `Филиал`, вторая — только свой статус и `Курс`. Поля, enum ID и статусы между воронками не смешиваются.</t>
        </is>
      </c>
      <c r="H5" s="20" t="inlineStr">
        <is>
          <t>Critical</t>
        </is>
      </c>
      <c r="I5" s="3" t="inlineStr">
        <is>
          <t>Not Run</t>
        </is>
      </c>
      <c r="J5" s="2" t="inlineStr">
        <is>
          <t>web|api|integration</t>
        </is>
      </c>
    </row>
  </sheetData>
  <autoFilter ref="A1:J5"/>
  <conditionalFormatting sqref="I2:I3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35" showDropDown="0" showInputMessage="0" showErrorMessage="0" allowBlank="1" errorTitle="Недопустимое значение" error="Выбери значение из списка: Critical, High, Medium, Low" type="list">
      <formula1>"Critical,High,Medium,Low"</formula1>
    </dataValidation>
    <dataValidation sqref="I2:I3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TC-355</t>
        </is>
      </c>
      <c r="B2" s="2" t="inlineStr">
        <is>
          <t>Будущий релиз — Решения диаграмм 25.07</t>
        </is>
      </c>
      <c r="C2" s="2" t="inlineStr">
        <is>
          <t>Функции вне текущего релиза</t>
        </is>
      </c>
      <c r="D2" s="2" t="inlineStr">
        <is>
          <t>Пустая текущая очередь показывает число запланированных звонков
Фиолетовое правило E9 заменяет старое сообщение о пустой очереди на полезную сводку: сколько лидов запланировано и когда наступит ближайшее время.</t>
        </is>
      </c>
      <c r="E2" s="2" t="inlineStr">
        <is>
          <t>Функция E9 реализована и выложена на staging. Сейчас нет лидов, готовых к выдаче; ровно три тестовых лида запланированы на известные будущие времена.</t>
        </is>
      </c>
      <c r="F2" s="2" t="inlineStr">
        <is>
          <t>1. Открой режим обзвона под оператором с доступом к тестовой воронке.
2. Запроси следующего лида при нулевой текущей очереди.
3. Сравни показанное число с тремя запланированными лидами.
4. Сравни показанное время с самым ранним `next_call_at`.
5. Дождись времени первого лида или приблизь его на staging и обнови состояние.</t>
        </is>
      </c>
      <c r="G2" s="2" t="inlineStr">
        <is>
          <t>Вместо `Queue: 0` и старой надписи показано «3 запланировано, следующий HH:MM». Число и время совпадают с API; после наступления срока лид становится доступен.</t>
        </is>
      </c>
      <c r="H2" s="21" t="inlineStr">
        <is>
          <t>High</t>
        </is>
      </c>
      <c r="I2" s="3" t="inlineStr">
        <is>
          <t>Blocked</t>
        </is>
      </c>
      <c r="J2" s="2" t="inlineStr">
        <is>
          <t>web|api|boundary</t>
        </is>
      </c>
    </row>
    <row r="3" ht="109.6" customHeight="1">
      <c r="A3" s="3" t="inlineStr">
        <is>
          <t>TC-356</t>
        </is>
      </c>
      <c r="B3" s="2" t="inlineStr">
        <is>
          <t>Будущий релиз — Решения диаграмм 25.07</t>
        </is>
      </c>
      <c r="C3" s="2" t="inlineStr">
        <is>
          <t>Функции вне текущего релиза</t>
        </is>
      </c>
      <c r="D3" s="2" t="inlineStr">
        <is>
          <t>Отсутствие звонков закрывает активную смену после N минут
Фиолетовое правило E7 заменяет закрытие только в 23:59: после N минут без звонков активная смена должна автоматически завершиться с корректным учётом времени.</t>
        </is>
      </c>
      <c r="E3" s="2" t="inlineStr">
        <is>
          <t>Автозакрытие по бездействию реализовано и выложено на staging; команда зафиксировала N, определение активности и взаимодействие с ручным перерывом. Есть тестовый оператор без активного звонка.</t>
        </is>
      </c>
      <c r="F3" s="2" t="inlineStr">
        <is>
          <t>1. Начни смену и запиши время.
2. Не выполняй звонков в течение N−1 минут и проверь состояние.
3. Дождись N минут и обнови экран смены.
4. Проверь время закрытия и возможность начать новую смену в тот же день.
5. Сверь интервалы работы и перерыва в отчёте ROP.</t>
        </is>
      </c>
      <c r="G3" s="2" t="inlineStr">
        <is>
          <t>До N минут смена активна, после N — закрыта временем, рассчитанным по утверждённому правилу. Отчёт не создаёт пересекающихся интервалов; повторный планировщик не закрывает ту же смену второй раз.</t>
        </is>
      </c>
      <c r="H3" s="21" t="inlineStr">
        <is>
          <t>High</t>
        </is>
      </c>
      <c r="I3" s="3" t="inlineStr">
        <is>
          <t>Blocked</t>
        </is>
      </c>
      <c r="J3" s="2" t="inlineStr">
        <is>
          <t>web|api|boundary</t>
        </is>
      </c>
    </row>
  </sheetData>
  <autoFilter ref="A1:J3"/>
  <conditionalFormatting sqref="I2:I33">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33" showDropDown="0" showInputMessage="0" showErrorMessage="0" allowBlank="1" errorTitle="Недопустимое значение" error="Выбери значение из списка: Critical, High, Medium, Low" type="list">
      <formula1>"Critical,High,Medium,Low"</formula1>
    </dataValidation>
    <dataValidation sqref="I2:I33"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TC-357</t>
        </is>
      </c>
      <c r="B2" s="2" t="inlineStr">
        <is>
          <t>Web/API — Экраны и настройки</t>
        </is>
      </c>
      <c r="C2" s="2" t="inlineStr">
        <is>
          <t>/dashboard/home</t>
        </is>
      </c>
      <c r="D2" s="2" t="inlineStr">
        <is>
          <t>Главная оператора показывает актуальное состояние работы
Главная страница должна быть понятной точкой входа: оператор сразу видит смену, доступную очередь и последние звонки, а кнопки ведут в правильные разделы.</t>
        </is>
      </c>
      <c r="E2" s="2" t="inlineStr">
        <is>
          <t>У тестового оператора открыта смена, есть минимум один доступный лид и один завершённый звонок. Выполнен новый вход под этим оператором.</t>
        </is>
      </c>
      <c r="F2" s="2" t="inlineStr">
        <is>
          <t>1. Открой `/dashboard/home`.
2. Сравни состояние смены и число доступных лидов с соответствующими рабочими экранами.
3. Проверь данные последнего звонка.
4. По очереди открой кнопки перехода к обзвону, звонкам и рабочему времени.
5. Вернись на главную через меню.</t>
        </is>
      </c>
      <c r="G2" s="2" t="inlineStr">
        <is>
          <t>Главная открывается без пустых или чужих данных. Смена, очередь и последний звонок совпадают с API; каждая кнопка ведёт в нужный раздел и возврат не ломает состояние.</t>
        </is>
      </c>
      <c r="H2" s="21" t="inlineStr">
        <is>
          <t>High</t>
        </is>
      </c>
      <c r="I2" s="3" t="inlineStr">
        <is>
          <t>Not Run</t>
        </is>
      </c>
      <c r="J2" s="2" t="inlineStr">
        <is>
          <t>web|api|integration</t>
        </is>
      </c>
    </row>
    <row r="3" ht="109.6" customHeight="1">
      <c r="A3" s="3" t="inlineStr">
        <is>
          <t>TC-358</t>
        </is>
      </c>
      <c r="B3" s="2" t="inlineStr">
        <is>
          <t>Web/API — Экраны и настройки</t>
        </is>
      </c>
      <c r="C3" s="2" t="inlineStr">
        <is>
          <t>/dashboard/dynamic-form</t>
        </is>
      </c>
      <c r="D3" s="2" t="inlineStr">
        <is>
          <t>Экран Правила собирает актуальные данные выбранных воронок
РОП должен видеть в одном рабочем месте свои воронки, статусы и поля, автоматически полученные из AmoCRM, без ручного создания справочников.</t>
        </is>
      </c>
      <c r="E3" s="2" t="inlineStr">
        <is>
          <t>У РОП подключена тестовая AmoCRM с двумя выбранными воронками, статусами и группами `Operator AI`. Синхронизация завершилась успешно.</t>
        </is>
      </c>
      <c r="F3" s="2" t="inlineStr">
        <is>
          <t>1. Войди под РОП и открой `/dashboard/dynamic-form`.
2. Сверь список выбранных воронок с AmoCRM.
3. Для каждой воронки сверь статусы, порядок и поля группы `Operator AI`.
4. Обнови страницу и повтори сверку.
5. Убедись, что данные другой компании отсутствуют.</t>
        </is>
      </c>
      <c r="G3" s="2" t="inlineStr">
        <is>
          <t>Для каждой воронки показаны только её актуальные статусы и поля с правильными AmoCRM ID. После обновления данные не исчезают и между компаниями не смешиваются.</t>
        </is>
      </c>
      <c r="H3" s="20" t="inlineStr">
        <is>
          <t>Critical</t>
        </is>
      </c>
      <c r="I3" s="3" t="inlineStr">
        <is>
          <t>Not Run</t>
        </is>
      </c>
      <c r="J3" s="2" t="inlineStr">
        <is>
          <t>web|api|positive</t>
        </is>
      </c>
    </row>
    <row r="4" ht="109.6" customHeight="1">
      <c r="A4" s="3" t="inlineStr">
        <is>
          <t>TC-359</t>
        </is>
      </c>
      <c r="B4" s="2" t="inlineStr">
        <is>
          <t>Web/API — Экраны и настройки</t>
        </is>
      </c>
      <c r="C4" s="2" t="inlineStr">
        <is>
          <t>Главная / Таблицы / Настройки</t>
        </is>
      </c>
      <c r="D4" s="2" t="inlineStr">
        <is>
          <t>РОП сохраняет подсказку и приоритет статуса
Подсказка объясняет AI смысл этапа, а приоритет влияет на правила работы. Изменение должно сохраняться у правильного статуса и не затрагивать одноимённый статус другой воронки.</t>
        </is>
      </c>
      <c r="E4" s="2" t="inlineStr">
        <is>
          <t>У РОП две воронки с одноимёнными тестовыми статусами, но разными ID. Открыт экран редактирования статуса первой воронки.</t>
        </is>
      </c>
      <c r="F4" s="2" t="inlineStr">
        <is>
          <t>1. Запиши исходные подсказку и приоритет обоих статусов.
2. Измени подсказку и приоритет только у статуса первой воронки.
3. Сохрани и обнови страницу.
4. Открой оба одноимённых статуса.
5. Запроси их через API.</t>
        </is>
      </c>
      <c r="G4" s="2" t="inlineStr">
        <is>
          <t>Новое значение сохранилось только у выбранного ID первой воронки. Второй статус не изменился; после обновления интерфейс и API показывают одинаковые данные.</t>
        </is>
      </c>
      <c r="H4" s="21" t="inlineStr">
        <is>
          <t>High</t>
        </is>
      </c>
      <c r="I4" s="3" t="inlineStr">
        <is>
          <t>Not Run</t>
        </is>
      </c>
      <c r="J4" s="2" t="inlineStr">
        <is>
          <t>web|api|positive</t>
        </is>
      </c>
    </row>
    <row r="5" ht="109.6" customHeight="1">
      <c r="A5" s="3" t="inlineStr">
        <is>
          <t>TC-360</t>
        </is>
      </c>
      <c r="B5" s="2" t="inlineStr">
        <is>
          <t>Web/API — Экраны и настройки</t>
        </is>
      </c>
      <c r="C5" s="2" t="inlineStr">
        <is>
          <t>Главная / Таблицы / Настройки</t>
        </is>
      </c>
      <c r="D5" s="2" t="inlineStr">
        <is>
          <t>Подсказка поля сохраняется и помогает следующему AI-анализу
РОП объясняет AI, какое значение извлекать в поле AmoCRM. Проверяем полный путь от редактирования подсказки до результата нового тестового разговора.</t>
        </is>
      </c>
      <c r="E5" s="2" t="inlineStr">
        <is>
          <t>В группе `Operator AI` есть безопасное тестовое текстовое поле. Подготовлена запись, где нужное значение явно произнесено и соответствует новой подсказке.</t>
        </is>
      </c>
      <c r="F5" s="2" t="inlineStr">
        <is>
          <t>1. Открой поле в Правилах и введи уникальную понятную подсказку.
2. Сохрани, обнови страницу и проверь текст подсказки.
3. Запусти AI-анализ новой тестовой записи.
4. Открой рекомендацию и найди тестовое поле.
5. Сравни результат с фразой разговора и подсказкой.</t>
        </is>
      </c>
      <c r="G5" s="2" t="inlineStr">
        <is>
          <t>Подсказка сохраняется у правильного поля и передаётся в новый анализ. AI заполняет поле значением из разговора; другие поля и подсказки не меняются.</t>
        </is>
      </c>
      <c r="H5" s="21" t="inlineStr">
        <is>
          <t>High</t>
        </is>
      </c>
      <c r="I5" s="3" t="inlineStr">
        <is>
          <t>Not Run</t>
        </is>
      </c>
      <c r="J5" s="2" t="inlineStr">
        <is>
          <t>web|api|integration</t>
        </is>
      </c>
    </row>
    <row r="6" ht="96.39999999999999" customHeight="1">
      <c r="A6" s="3" t="inlineStr">
        <is>
          <t>TC-361</t>
        </is>
      </c>
      <c r="B6" s="2" t="inlineStr">
        <is>
          <t>Web/API — Экраны и настройки</t>
        </is>
      </c>
      <c r="C6" s="2" t="inlineStr">
        <is>
          <t>Главная / Таблицы / Настройки</t>
        </is>
      </c>
      <c r="D6" s="2" t="inlineStr">
        <is>
          <t>Описание компании сохраняется и используется как контекст AI
Название филиала, курса или продукта может быть трудно распознать на слух. РОП задаёт контекст компании, который должен сохраняться и помогать новым анализам.</t>
        </is>
      </c>
      <c r="E6" s="2" t="inlineStr">
        <is>
          <t>В тестовой компании есть редкое контрольное название. Подготовлена запись с этим названием; исходное описание компании сохранено для восстановления.</t>
        </is>
      </c>
      <c r="F6" s="2" t="inlineStr">
        <is>
          <t>1. Открой Критерии и сохрани описание компании с контрольным названием.
2. Обнови страницу и проверь сохранённый текст.
3. Проанализируй новую тестовую запись.
4. Проверь транскрипцию и извлечённое значение.
5. Верни исходное описание компании.</t>
        </is>
      </c>
      <c r="G6" s="2" t="inlineStr">
        <is>
          <t>Описание сохраняется только у текущего РОП и доступно после обновления. Новый анализ использует контрольное название без подмены данных другой компании.</t>
        </is>
      </c>
      <c r="H6" s="21" t="inlineStr">
        <is>
          <t>High</t>
        </is>
      </c>
      <c r="I6" s="3" t="inlineStr">
        <is>
          <t>Not Run</t>
        </is>
      </c>
      <c r="J6" s="2" t="inlineStr">
        <is>
          <t>web|api|positive</t>
        </is>
      </c>
    </row>
    <row r="7" ht="96.39999999999999" customHeight="1">
      <c r="A7" s="3" t="inlineStr">
        <is>
          <t>TC-362</t>
        </is>
      </c>
      <c r="B7" s="2" t="inlineStr">
        <is>
          <t>Web/API — Экраны и настройки</t>
        </is>
      </c>
      <c r="C7" s="2" t="inlineStr">
        <is>
          <t>Главная / Таблицы / Настройки</t>
        </is>
      </c>
      <c r="D7" s="2" t="inlineStr">
        <is>
          <t>РОП назначает и снимает воронку у выбранного оператора через UI
Экран назначения определяет доступный оператору пул лидов. Изменение должно применяться к выбранному человеку и сразу отражаться в его очереди.</t>
        </is>
      </c>
      <c r="E7" s="2" t="inlineStr">
        <is>
          <t>У РОП два оператора и две синхронизированные воронки с тестовыми лидами. Воронка-Б ещё не назначена Оператору-А.</t>
        </is>
      </c>
      <c r="F7" s="2" t="inlineStr">
        <is>
          <t>1. Открой Настройку очереди и выбери Оператора-А.
2. Назначь ему Воронку-Б и сохрани.
3. Обнови страницу и проверь назначение.
4. Под Оператором-А проверь очередь, затем сними назначение под РОП.
5. Повтори проверку очереди и убедись, что Оператор-Б не изменился.</t>
        </is>
      </c>
      <c r="G7" s="2" t="inlineStr">
        <is>
          <t>После назначения лиды Воронки-Б доступны только нужным операторам. После снятия новые лиды этой воронки Оператору-А не выдаются; назначения Оператора-Б сохранены.</t>
        </is>
      </c>
      <c r="H7" s="20" t="inlineStr">
        <is>
          <t>Critical</t>
        </is>
      </c>
      <c r="I7" s="3" t="inlineStr">
        <is>
          <t>Not Run</t>
        </is>
      </c>
      <c r="J7" s="2" t="inlineStr">
        <is>
          <t>web|api|integration</t>
        </is>
      </c>
    </row>
    <row r="8" ht="96.39999999999999" customHeight="1">
      <c r="A8" s="3" t="inlineStr">
        <is>
          <t>TC-363</t>
        </is>
      </c>
      <c r="B8" s="2" t="inlineStr">
        <is>
          <t>Web/API — Экраны и настройки</t>
        </is>
      </c>
      <c r="C8" s="2" t="inlineStr">
        <is>
          <t>Главная / Таблицы / Настройки</t>
        </is>
      </c>
      <c r="D8" s="2" t="inlineStr">
        <is>
          <t>Несколько назначенных воронок сохраняются без дублей
Один оператор может работать с несколькими воронками. Повторное сохранение и обновление страницы не должны терять назначения или создавать одинаковые строки.</t>
        </is>
      </c>
      <c r="E8" s="2" t="inlineStr">
        <is>
          <t>У РОП есть три синхронизированные воронки и один тестовый оператор.</t>
        </is>
      </c>
      <c r="F8" s="2" t="inlineStr">
        <is>
          <t>1. Назначь оператору все три воронки.
2. Сохрани и дважды обнови страницу.
3. Повтори сохранение того же набора.
4. Проверь список назначений через API.
5. Открой очередь оператора и запроси лиды каждой воронки.</t>
        </is>
      </c>
      <c r="G8" s="2" t="inlineStr">
        <is>
          <t>После каждого обновления видны ровно три уникальных назначения. Очередь принимает лидов всех трёх воронок, дубликатов связей и лидов нет.</t>
        </is>
      </c>
      <c r="H8" s="21" t="inlineStr">
        <is>
          <t>High</t>
        </is>
      </c>
      <c r="I8" s="3" t="inlineStr">
        <is>
          <t>Not Run</t>
        </is>
      </c>
      <c r="J8" s="2" t="inlineStr">
        <is>
          <t>web|api|boundary</t>
        </is>
      </c>
    </row>
    <row r="9" ht="96.39999999999999" customHeight="1">
      <c r="A9" s="3" t="inlineStr">
        <is>
          <t>TC-364</t>
        </is>
      </c>
      <c r="B9" s="2" t="inlineStr">
        <is>
          <t>Web/API — Экраны и настройки</t>
        </is>
      </c>
      <c r="C9" s="2" t="inlineStr">
        <is>
          <t>Главная / Таблицы / Настройки</t>
        </is>
      </c>
      <c r="D9" s="2" t="inlineStr">
        <is>
          <t>Карточка оператора показывает данные выбранного сотрудника
РОП открывает конкретного оператора и должен видеть его профиль, статус, внутренний номер и рабочую активность, а не данные соседней строки.</t>
        </is>
      </c>
      <c r="E9" s="2" t="inlineStr">
        <is>
          <t>У РОП два оператора с различимыми данными, разными extension и историей звонков.</t>
        </is>
      </c>
      <c r="F9" s="2" t="inlineStr">
        <is>
          <t>1. Из списка открой карточку первого оператора.
2. Сверь имя, телефон, extension, активность и состояние аккаунта.
3. Вернись и открой второго оператора.
4. Сравни URL и данные обеих карточек.
5. Обнови вторую карточку.</t>
        </is>
      </c>
      <c r="G9" s="2" t="inlineStr">
        <is>
          <t>Каждая карточка соответствует ID в URL и API. Данные первого оператора не остаются при переходе ко второму; обновление страницы не сбрасывает выбранного сотрудника.</t>
        </is>
      </c>
      <c r="H9" s="21" t="inlineStr">
        <is>
          <t>High</t>
        </is>
      </c>
      <c r="I9" s="3" t="inlineStr">
        <is>
          <t>Not Run</t>
        </is>
      </c>
      <c r="J9" s="2" t="inlineStr">
        <is>
          <t>web|api|positive</t>
        </is>
      </c>
    </row>
    <row r="10" ht="96.39999999999999" customHeight="1">
      <c r="A10" s="3" t="inlineStr">
        <is>
          <t>TC-365</t>
        </is>
      </c>
      <c r="B10" s="2" t="inlineStr">
        <is>
          <t>Web/API — Экраны и настройки</t>
        </is>
      </c>
      <c r="C10" s="2" t="inlineStr">
        <is>
          <t>Главная / Таблицы / Настройки</t>
        </is>
      </c>
      <c r="D10" s="2" t="inlineStr">
        <is>
          <t>История звонков оператора не содержит чужих звонков
Из карточки сотрудника РОП открывает его звонки. Фильтр должен применяться на сервере, иначе в историю могут попасть данные коллеги или другой компании.</t>
        </is>
      </c>
      <c r="E10" s="2" t="inlineStr">
        <is>
          <t>У двух операторов одного РОП и одного оператора другой компании есть различимые тестовые звонки.</t>
        </is>
      </c>
      <c r="F10" s="2" t="inlineStr">
        <is>
          <t>1. Открой историю звонков первого оператора.
2. Сверь каждую строку с `operator_id` через API.
3. Перейди на следующую страницу списка.
4. Повтори для второго оператора.
5. Попробуй подставить ID оператора другой компании в прямой URL.</t>
        </is>
      </c>
      <c r="G10" s="2" t="inlineStr">
        <is>
          <t>В каждой истории присутствуют только звонки выбранного оператора своей компании. Чужой ID даёт 403/404 и не раскрывает даже краткие данные звонка.</t>
        </is>
      </c>
      <c r="H10" s="20" t="inlineStr">
        <is>
          <t>Critical</t>
        </is>
      </c>
      <c r="I10" s="3" t="inlineStr">
        <is>
          <t>Not Run</t>
        </is>
      </c>
      <c r="J10" s="2" t="inlineStr">
        <is>
          <t>web|api|negative</t>
        </is>
      </c>
    </row>
    <row r="11" ht="96.39999999999999" customHeight="1">
      <c r="A11" s="3" t="inlineStr">
        <is>
          <t>TC-366</t>
        </is>
      </c>
      <c r="B11" s="2" t="inlineStr">
        <is>
          <t>Web/API — Экраны и настройки</t>
        </is>
      </c>
      <c r="C11" s="2" t="inlineStr">
        <is>
          <t>Главная / Таблицы / Настройки</t>
        </is>
      </c>
      <c r="D11" s="2" t="inlineStr">
        <is>
          <t>Пагинация истории звонков не теряет и не дублирует строки
При большом числе звонков оператор и РОП листают страницы. Записи должны иметь стабильный порядок и не перескакивать между страницами без нового события.</t>
        </is>
      </c>
      <c r="E11" s="2" t="inlineStr">
        <is>
          <t>У тестовой компании больше двух полных страниц звонков с уникальными ID и временем.</t>
        </is>
      </c>
      <c r="F11" s="2" t="inlineStr">
        <is>
          <t>1. Открой первую страницу и запиши ID строк и общий счётчик.
2. Открой вторую страницу и сравни ID.
3. Вернись на первую страницу.
4. Измени размер страницы, если контрол доступен.
5. Сравни объединённый список с API.</t>
        </is>
      </c>
      <c r="G11" s="2" t="inlineStr">
        <is>
          <t>Строки отсортированы стабильно, на соседних страницах нет одинаковых ID, ни один звонок не потерян. Общий счётчик и размер страницы совпадают с API.</t>
        </is>
      </c>
      <c r="H11" s="21" t="inlineStr">
        <is>
          <t>High</t>
        </is>
      </c>
      <c r="I11" s="3" t="inlineStr">
        <is>
          <t>Not Run</t>
        </is>
      </c>
      <c r="J11" s="2" t="inlineStr">
        <is>
          <t>web|api|boundary</t>
        </is>
      </c>
    </row>
    <row r="12" ht="96.39999999999999" customHeight="1">
      <c r="A12" s="3" t="inlineStr">
        <is>
          <t>TC-367</t>
        </is>
      </c>
      <c r="B12" s="2" t="inlineStr">
        <is>
          <t>Web/API — Экраны и настройки</t>
        </is>
      </c>
      <c r="C12" s="2" t="inlineStr">
        <is>
          <t>Главная / Таблицы / Настройки</t>
        </is>
      </c>
      <c r="D12" s="2" t="inlineStr">
        <is>
          <t>Новый звонок появляется в истории без перезагрузки
SSE должен обновлять таблицу звонков в реальном времени и переживать краткий разрыв сети без ручного обновления браузера.</t>
        </is>
      </c>
      <c r="E12" s="2" t="inlineStr">
        <is>
          <t>Открыта история звонков тестового оператора. Можно создать безопасный тестовый звонок и на несколько секунд отключить сеть браузера.</t>
        </is>
      </c>
      <c r="F12" s="2" t="inlineStr">
        <is>
          <t>1. Оставь таблицу открытой и создай новый тестовый звонок.
2. Дождись появления строки без перезагрузки.
3. На 10 секунд включи Offline и верни сеть.
4. Создай ещё один тестовый звонок.
5. Проверь строки и сетевые подключения SSE.</t>
        </is>
      </c>
      <c r="G12" s="2" t="inlineStr">
        <is>
          <t>Оба звонка появляются по одному разу. После возврата сети поток переподключается сам, таблица не очищается и не создаёт дубли.</t>
        </is>
      </c>
      <c r="H12" s="21" t="inlineStr">
        <is>
          <t>High</t>
        </is>
      </c>
      <c r="I12" s="3" t="inlineStr">
        <is>
          <t>Not Run</t>
        </is>
      </c>
      <c r="J12" s="2" t="inlineStr">
        <is>
          <t>web|api|integration</t>
        </is>
      </c>
    </row>
    <row r="13" ht="96.39999999999999" customHeight="1">
      <c r="A13" s="3" t="inlineStr">
        <is>
          <t>TC-368</t>
        </is>
      </c>
      <c r="B13" s="2" t="inlineStr">
        <is>
          <t>Web/API — Экраны и настройки</t>
        </is>
      </c>
      <c r="C13" s="2" t="inlineStr">
        <is>
          <t>Главная / Таблицы / Настройки</t>
        </is>
      </c>
      <c r="D13" s="2" t="inlineStr">
        <is>
          <t>Карточка лида объединяет сделку и все её звонки
Карточка должна показывать актуальные данные AmoCRM и историю именно этой сделки: статус, поля, попытки, звонки, AI-резюме и переходы к деталям.</t>
        </is>
      </c>
      <c r="E13" s="2" t="inlineStr">
        <is>
          <t>У тестового лида есть минимум два звонка с разными результатами, один с AI-анализом.</t>
        </is>
      </c>
      <c r="F13" s="2" t="inlineStr">
        <is>
          <t>1. Открой лида из списка звонков.
2. Сверь основные данные и статус с AmoCRM.
3. Сверь число и порядок звонков с API.
4. Открой AI-резюме и данные формы.
5. Перейди к каждому звонку и вернись назад.</t>
        </is>
      </c>
      <c r="G13" s="2" t="inlineStr">
        <is>
          <t>Карточка относится к одному deal ID и показывает оба звонка без чужих событий. Статус и поля актуальны; переходы и возврат сохраняют контекст лида.</t>
        </is>
      </c>
      <c r="H13" s="20" t="inlineStr">
        <is>
          <t>Critical</t>
        </is>
      </c>
      <c r="I13" s="3" t="inlineStr">
        <is>
          <t>Not Run</t>
        </is>
      </c>
      <c r="J13" s="2" t="inlineStr">
        <is>
          <t>web|api|positive</t>
        </is>
      </c>
    </row>
    <row r="14" ht="109.6" customHeight="1">
      <c r="A14" s="3" t="inlineStr">
        <is>
          <t>TC-369</t>
        </is>
      </c>
      <c r="B14" s="2" t="inlineStr">
        <is>
          <t>Web/API — Экраны и настройки</t>
        </is>
      </c>
      <c r="C14" s="2" t="inlineStr">
        <is>
          <t>Главная / Таблицы / Настройки</t>
        </is>
      </c>
      <c r="D14" s="2" t="inlineStr">
        <is>
          <t>Сегменты транскрипции синхронизированы с аудио
По клику на реплику запись должна перейти к соответствующему времени. Говорящие, порядок и временные интервалы не должны смешиваться.</t>
        </is>
      </c>
      <c r="E14" s="2" t="inlineStr">
        <is>
          <t>Есть тестовый разговор с известными репликами двух участников и сегментами с временными метками.</t>
        </is>
      </c>
      <c r="F14" s="2" t="inlineStr">
        <is>
          <t>1. Открой страницу транскрипции.
2. Сверь порядок, роли говорящих и текст сегментов.
3. Нажми сегмент в начале, середине и конце разговора.
4. Сравни позицию аудиоплеера с временной меткой.
5. Дослушай переход между двумя соседними сегментами.</t>
        </is>
      </c>
      <c r="G14" s="2" t="inlineStr">
        <is>
          <t>Сегменты идут без перестановок и отрицательных интервалов. Каждый клик переводит аудио к нужной реплике с разумной погрешностью, роли оператора и клиента не меняются.</t>
        </is>
      </c>
      <c r="H14" s="21" t="inlineStr">
        <is>
          <t>High</t>
        </is>
      </c>
      <c r="I14" s="3" t="inlineStr">
        <is>
          <t>Not Run</t>
        </is>
      </c>
      <c r="J14" s="2" t="inlineStr">
        <is>
          <t>web|positive</t>
        </is>
      </c>
    </row>
    <row r="15" ht="109.6" customHeight="1">
      <c r="A15" s="3" t="inlineStr">
        <is>
          <t>TC-370</t>
        </is>
      </c>
      <c r="B15" s="2" t="inlineStr">
        <is>
          <t>Web/API — Экраны и настройки</t>
        </is>
      </c>
      <c r="C15" s="2" t="inlineStr">
        <is>
          <t>Главная / Таблицы / Настройки</t>
        </is>
      </c>
      <c r="D15" s="2" t="inlineStr">
        <is>
          <t>Аудиоплеер поддерживает воспроизведение, поиск и скачивание
Запись звонка должна быть пригодна для ручной проверки: play/pause, перемотка, скорость, остановка и скачивание работают предсказуемо.</t>
        </is>
      </c>
      <c r="E15" s="2" t="inlineStr">
        <is>
          <t>Есть два звонка с доступными тестовыми аудиозаписями; браузеру разрешено воспроизведение.</t>
        </is>
      </c>
      <c r="F15" s="2" t="inlineStr">
        <is>
          <t>1. Запусти первую запись, поставь на паузу и продолжи.
2. Перемести ползунок в середину и измени скорость, если контрол доступен.
3. Запусти вторую запись на той же странице.
4. Нажми Стоп и снова запусти первую.
5. Скачай запись и открой локальный тестовый файл.</t>
        </is>
      </c>
      <c r="G15" s="2" t="inlineStr">
        <is>
          <t>Позиция и длительность корректны, одновременно играет только одна запись. Стоп сбрасывает состояние; скачанный файл открывается и относится к выбранному звонку.</t>
        </is>
      </c>
      <c r="H15" s="21" t="inlineStr">
        <is>
          <t>High</t>
        </is>
      </c>
      <c r="I15" s="3" t="inlineStr">
        <is>
          <t>Not Run</t>
        </is>
      </c>
      <c r="J15" s="2" t="inlineStr">
        <is>
          <t>web|positive</t>
        </is>
      </c>
    </row>
    <row r="16" ht="96.39999999999999" customHeight="1">
      <c r="A16" s="3" t="inlineStr">
        <is>
          <t>TC-371</t>
        </is>
      </c>
      <c r="B16" s="2" t="inlineStr">
        <is>
          <t>Web/API — Экраны и настройки</t>
        </is>
      </c>
      <c r="C16" s="2" t="inlineStr">
        <is>
          <t>Главная / Таблицы / Настройки</t>
        </is>
      </c>
      <c r="D16" s="2" t="inlineStr">
        <is>
          <t>Страница поля AmoCRM показывает правильные варианты и возвращает назад
Детальная страница поля используется для проверки типа и enum-значений. Она должна открывать именно выбранное поле и сохранять путь возврата.</t>
        </is>
      </c>
      <c r="E16" s="2" t="inlineStr">
        <is>
          <t>В форме есть текстовое поле и select-поле с минимум тремя вариантами AmoCRM.</t>
        </is>
      </c>
      <c r="F16" s="2" t="inlineStr">
        <is>
          <t>1. Из карточки звонка открой детали select-поля.
2. Сверь ID, тип, sort и все варианты с API AmoCRM-зеркала.
3. Вернись назад и проверь сохранённый контекст карточки.
4. Открой текстовое поле и повтори сверку.
5. Обнови URL страницы выбранного поля.</t>
        </is>
      </c>
      <c r="G16" s="2" t="inlineStr">
        <is>
          <t>Каждый URL показывает данные своего field ID без вариантов соседнего поля. Возврат ведёт к исходной карточке; обновление не вызывает белый экран.</t>
        </is>
      </c>
      <c r="H16" s="22" t="inlineStr">
        <is>
          <t>Medium</t>
        </is>
      </c>
      <c r="I16" s="3" t="inlineStr">
        <is>
          <t>Not Run</t>
        </is>
      </c>
      <c r="J16" s="2" t="inlineStr">
        <is>
          <t>web|api|positive</t>
        </is>
      </c>
    </row>
    <row r="17" ht="122.8" customHeight="1">
      <c r="A17" s="3" t="inlineStr">
        <is>
          <t>TC-372</t>
        </is>
      </c>
      <c r="B17" s="2" t="inlineStr">
        <is>
          <t>Web/API — Экраны и настройки</t>
        </is>
      </c>
      <c r="C17" s="2" t="inlineStr">
        <is>
          <t>Главная / Таблицы / Настройки</t>
        </is>
      </c>
      <c r="D17" s="2" t="inlineStr">
        <is>
          <t>Удалённая или несуществующая сущность даёт понятное состояние
Старые ссылки на лида, звонок, оператора или поле могут сохраниться в закладках. Интерфейс не должен падать или показывать данные предыдущей сущности.</t>
        </is>
      </c>
      <c r="E17" s="2" t="inlineStr">
        <is>
          <t>Есть четыре заведомо несуществующих UUID для лида, звонка, оператора и поля.</t>
        </is>
      </c>
      <c r="F17" s="2" t="inlineStr">
        <is>
          <t>1. По очереди открой прямые URL четырёх несуществующих сущностей.
2. На каждой странице дождись завершения загрузки.
3. Проверь сообщение и доступную кнопку возврата.
4. Открой существующую сущность, затем снова несуществующую.
5. Проверь консоль браузера на необработанные ошибки.</t>
        </is>
      </c>
      <c r="G17" s="2" t="inlineStr">
        <is>
          <t>Показано понятное состояние 404/не найдено без чужих кэшированных данных и бесконечной загрузки. Возврат работает; белого экрана и необработанного исключения нет.</t>
        </is>
      </c>
      <c r="H17" s="21" t="inlineStr">
        <is>
          <t>High</t>
        </is>
      </c>
      <c r="I17" s="3" t="inlineStr">
        <is>
          <t>Not Run</t>
        </is>
      </c>
      <c r="J17" s="2" t="inlineStr">
        <is>
          <t>web|api|negative</t>
        </is>
      </c>
    </row>
  </sheetData>
  <autoFilter ref="A1:J17"/>
  <conditionalFormatting sqref="I2:I47">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47" showDropDown="0" showInputMessage="0" showErrorMessage="0" allowBlank="1" errorTitle="Недопустимое значение" error="Выбери значение из списка: Critical, High, Medium, Low" type="list">
      <formula1>"Critical,High,Medium,Low"</formula1>
    </dataValidation>
    <dataValidation sqref="I2:I47"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TC-373</t>
        </is>
      </c>
      <c r="B2" s="2" t="inlineStr">
        <is>
          <t>Web/API — Релизная приёмка</t>
        </is>
      </c>
      <c r="C2" s="2" t="inlineStr">
        <is>
          <t>/healthz · /readyz · /metrics</t>
        </is>
      </c>
      <c r="D2" s="2" t="inlineStr">
        <is>
          <t>Служебные проверки подтверждают здоровье релиза
`healthz` показывает, что процесс жив, `readyz` — что он готов обслуживать клиентов, а метрики доступны мониторингу без раскрытия секретов.</t>
        </is>
      </c>
      <c r="E2" s="2" t="inlineStr">
        <is>
          <t>На staging развернута проверяемая версия; известны адрес API и разрешённый способ чтения метрик.</t>
        </is>
      </c>
      <c r="F2" s="2" t="inlineStr">
        <is>
          <t>1. Запроси `/healthz` и запиши код и тело ответа.
2. Запроси `/readyz` после полного старта приложения.
3. Запроси `/metrics` разрешённым способом.
4. Поищи в ответах токены, пароли, client_secret и персональные данные.
5. Повтори health/ready после одного тестового звонка.</t>
        </is>
      </c>
      <c r="G2" s="2" t="inlineStr">
        <is>
          <t>Health и readiness отвечают 200 только у рабочей версии, метрики читаются мониторингом. Ни один ответ не содержит секретов или данных конкретного клиента.</t>
        </is>
      </c>
      <c r="H2" s="20" t="inlineStr">
        <is>
          <t>Critical</t>
        </is>
      </c>
      <c r="I2" s="3" t="inlineStr">
        <is>
          <t>Not Run</t>
        </is>
      </c>
      <c r="J2" s="2" t="inlineStr">
        <is>
          <t>api|positive</t>
        </is>
      </c>
    </row>
    <row r="3" ht="122.8" customHeight="1">
      <c r="A3" s="3" t="inlineStr">
        <is>
          <t>TC-374</t>
        </is>
      </c>
      <c r="B3" s="2" t="inlineStr">
        <is>
          <t>Web/API — Релизная приёмка</t>
        </is>
      </c>
      <c r="C3" s="2" t="inlineStr">
        <is>
          <t>Release Gate / Эксплуатация</t>
        </is>
      </c>
      <c r="D3" s="2" t="inlineStr">
        <is>
          <t>Всплеск вебхуков не теряет события и не роняет сервис
Интеграции могут прислать много событий одновременно и повторы. Проверяем устойчивость без запуска дорогого AI: используем безопасные события без аудио.</t>
        </is>
      </c>
      <c r="E3" s="2" t="inlineStr">
        <is>
          <t>Согласован безопасный staging-набор из 50 уникальных событий и 10 их дублей. Доступны журнал и health endpoints.</t>
        </is>
      </c>
      <c r="F3" s="2" t="inlineStr">
        <is>
          <t>1. Запиши исходное число тестовых событий и состояние health.
2. Отправь согласованный пакет из 60 вебхуков за короткий интервал.
3. Дождись завершения обработки очереди.
4. Сверь уникальные ID, ошибки, потребление памяти и health.
5. Проверь работу обычного входа и одного запроса очереди.</t>
        </is>
      </c>
      <c r="G3" s="2" t="inlineStr">
        <is>
          <t>Сохранено ровно 50 уникальных событий, дубли не создают вторые звонки. Нет 500/502, цикла перезапусков или блокировки обычных запросов; health остаётся рабочим.</t>
        </is>
      </c>
      <c r="H3" s="20" t="inlineStr">
        <is>
          <t>Critical</t>
        </is>
      </c>
      <c r="I3" s="3" t="inlineStr">
        <is>
          <t>Not Run</t>
        </is>
      </c>
      <c r="J3" s="2" t="inlineStr">
        <is>
          <t>api|load</t>
        </is>
      </c>
    </row>
    <row r="4" ht="109.6" customHeight="1">
      <c r="A4" s="3" t="inlineStr">
        <is>
          <t>TC-375</t>
        </is>
      </c>
      <c r="B4" s="2" t="inlineStr">
        <is>
          <t>Web/API — Релизная приёмка</t>
        </is>
      </c>
      <c r="C4" s="2" t="inlineStr">
        <is>
          <t>Release Gate / Эксплуатация</t>
        </is>
      </c>
      <c r="D4" s="2" t="inlineStr">
        <is>
          <t>Чистое открытие нового деплоя загружает все ресурсы
После публикации старый браузерный кэш может ссылаться на удалённые JS/CSS-файлы. Проверяем новую версию в чистой сессии и после обновления старой вкладки.</t>
        </is>
      </c>
      <c r="E4" s="2" t="inlineStr">
        <is>
          <t>На staging только что выложена проверяемая версия. Есть чистый профиль браузера и вкладка, открытая до деплоя.</t>
        </is>
      </c>
      <c r="F4" s="2" t="inlineStr">
        <is>
          <t>1. Открой страницу входа в чистом профиле с пустым кэшем.
2. Войди и последовательно открой основные разделы своей роли.
3. Проверь Network и Console на 404 ресурсов и ошибки JavaScript.
4. Обнови вкладку, открытую до деплоя.
5. Повтори вход и один основной переход.</t>
        </is>
      </c>
      <c r="G4" s="2" t="inlineStr">
        <is>
          <t>Обе сессии загружают действующие JS/CSS без белого экрана и бесконечной загрузки. Старый кэш безопасно обновляется, основные разделы открываются.</t>
        </is>
      </c>
      <c r="H4" s="20" t="inlineStr">
        <is>
          <t>Critical</t>
        </is>
      </c>
      <c r="I4" s="3" t="inlineStr">
        <is>
          <t>Not Run</t>
        </is>
      </c>
      <c r="J4" s="2" t="inlineStr">
        <is>
          <t>web|regression</t>
        </is>
      </c>
    </row>
    <row r="5" ht="96.39999999999999" customHeight="1">
      <c r="A5" s="3" t="inlineStr">
        <is>
          <t>TC-376</t>
        </is>
      </c>
      <c r="B5" s="2" t="inlineStr">
        <is>
          <t>Web/API — Релизная приёмка</t>
        </is>
      </c>
      <c r="C5" s="2" t="inlineStr">
        <is>
          <t>Release Gate / Эксплуатация</t>
        </is>
      </c>
      <c r="D5" s="2" t="inlineStr">
        <is>
          <t>Критический путь работает в поддерживаемых браузерах
Клиенты могут использовать разные Chromium-браузеры и Firefox. Проверяем один одинаковый короткий путь в утверждённой браузерной матрице.</t>
        </is>
      </c>
      <c r="E5" s="2" t="inlineStr">
        <is>
          <t>Зафиксированы поддерживаемые версии браузеров; минимум последние стабильные Chrome, Edge и Firefox. Есть тестовые учётные записи и один безопасный лид.</t>
        </is>
      </c>
      <c r="F5" s="2" t="inlineStr">
        <is>
          <t>1. В каждом браузере выполни вход под оператором.
2. Открой главную, очередь, карточку звонка и рабочее время.
3. Проверь формы, календарь, select и аудиоплеер.
4. В поддерживаемом браузере выполни тест WebRTC или явно проверь запасной путь.
5. Сравни результат и консоль между браузерами.</t>
        </is>
      </c>
      <c r="G5" s="2" t="inlineStr">
        <is>
          <t>Критический путь работает во всех утверждённых браузерах без потери элементов и данных. Различия WebRTC соответствуют матрице и имеют рабочий fallback.</t>
        </is>
      </c>
      <c r="H5" s="21" t="inlineStr">
        <is>
          <t>High</t>
        </is>
      </c>
      <c r="I5" s="3" t="inlineStr">
        <is>
          <t>Not Run</t>
        </is>
      </c>
      <c r="J5" s="2" t="inlineStr">
        <is>
          <t>web|compatibility</t>
        </is>
      </c>
    </row>
    <row r="6" ht="122.8" customHeight="1">
      <c r="A6" s="3" t="inlineStr">
        <is>
          <t>TC-377</t>
        </is>
      </c>
      <c r="B6" s="2" t="inlineStr">
        <is>
          <t>Web/API — Релизная приёмка</t>
        </is>
      </c>
      <c r="C6" s="2" t="inlineStr">
        <is>
          <t>Release Gate / Эксплуатация</t>
        </is>
      </c>
      <c r="D6" s="2" t="inlineStr">
        <is>
          <t>Админка остаётся рабочей на типовых экранах и при масштабе 200%
Оператор не должен терять кнопки и поля на ноутбуке или при увеличенном масштабе. Проверяем рабочие размеры, а не только красивый снимок большого монитора.</t>
        </is>
      </c>
      <c r="E6" s="2" t="inlineStr">
        <is>
          <t>Подготовлены размеры 1280×720, 1366×768 и 1920×1080; браузер позволяет установить zoom 200%.</t>
        </is>
      </c>
      <c r="F6" s="2" t="inlineStr">
        <is>
          <t>1. На каждом размере открой меню, таблицу, модальное окно и карточку звонка.
2. Проверь горизонтальную и вертикальную прокрутку.
3. На 1366×768 установи масштаб 200%.
4. Пройди форму входа и экран ручного подтверждения без мыши.
5. Верни масштаб и проверь отсутствие сломанной раскладки.</t>
        </is>
      </c>
      <c r="G6" s="2" t="inlineStr">
        <is>
          <t>Основные кнопки и поля доступны прокруткой, текст не перекрывает управление, модальные окна можно закрыть и подтвердить. Данные не теряются при смене размера.</t>
        </is>
      </c>
      <c r="H6" s="21" t="inlineStr">
        <is>
          <t>High</t>
        </is>
      </c>
      <c r="I6" s="3" t="inlineStr">
        <is>
          <t>Not Run</t>
        </is>
      </c>
      <c r="J6" s="2" t="inlineStr">
        <is>
          <t>web|compatibility</t>
        </is>
      </c>
    </row>
    <row r="7" ht="122.8" customHeight="1">
      <c r="A7" s="3" t="inlineStr">
        <is>
          <t>TC-378</t>
        </is>
      </c>
      <c r="B7" s="2" t="inlineStr">
        <is>
          <t>Web/API — Релизная приёмка</t>
        </is>
      </c>
      <c r="C7" s="2" t="inlineStr">
        <is>
          <t>Release Gate / Эксплуатация</t>
        </is>
      </c>
      <c r="D7" s="2" t="inlineStr">
        <is>
          <t>Основной путь доступен с клавиатуры и видимым фокусом
Пользователь должен пройти вход и ключевые формы без ловушки фокуса. Это одновременно проверяет доступность и предотвращает случайные подтверждения.</t>
        </is>
      </c>
      <c r="E7" s="2" t="inlineStr">
        <is>
          <t>Открыта чистая страница входа; мышь во время проверки не используется.</t>
        </is>
      </c>
      <c r="F7" s="2" t="inlineStr">
        <is>
          <t>1. Клавишей Tab пройди поля входа, глазок и кнопку входа.
2. После входа открой меню и перейди к очереди.
3. Открой модальное окно и пройди все элементы Tab/Shift+Tab.
4. Измени select и дату с клавиатуры, не отправляя реальные данные.
5. Закрой окно Escape, если это разрешено сценарием.</t>
        </is>
      </c>
      <c r="G7" s="2" t="inlineStr">
        <is>
          <t>Фокус всегда видим и идёт в логичном порядке, не уходит под модальное окно. Все критические элементы доступны клавиатурой, Enter не отправляет форму дважды.</t>
        </is>
      </c>
      <c r="H7" s="22" t="inlineStr">
        <is>
          <t>Medium</t>
        </is>
      </c>
      <c r="I7" s="3" t="inlineStr">
        <is>
          <t>Not Run</t>
        </is>
      </c>
      <c r="J7" s="2" t="inlineStr">
        <is>
          <t>web|a11y</t>
        </is>
      </c>
    </row>
    <row r="8" ht="96.39999999999999" customHeight="1">
      <c r="A8" s="3" t="inlineStr">
        <is>
          <t>TC-379</t>
        </is>
      </c>
      <c r="B8" s="2" t="inlineStr">
        <is>
          <t>Web/API — Релизная приёмка</t>
        </is>
      </c>
      <c r="C8" s="2" t="inlineStr">
        <is>
          <t>Release Gate / Эксплуатация</t>
        </is>
      </c>
      <c r="D8" s="2" t="inlineStr">
        <is>
          <t>Медленная сеть показывает загрузку и не повторяет изменения
На мобильном интернете ответ может идти несколько секунд. Пользователь должен видеть ожидание и не создавать дубли повторными нажатиями.</t>
        </is>
      </c>
      <c r="E8" s="2" t="inlineStr">
        <is>
          <t>В DevTools установлен профиль медленной сети с задержкой; есть безопасная форма изменения тестового пользователя.</t>
        </is>
      </c>
      <c r="F8" s="2" t="inlineStr">
        <is>
          <t>1. На медленной сети открой таблицу и карточку.
2. Измени одно безопасное поле и нажми Сохранить.
3. Во время ожидания повторно нажми кнопку и попробуй уйти со страницы.
4. Дождись ответа и обнови данные.
5. Проверь число запросов и записей через API.</t>
        </is>
      </c>
      <c r="G8" s="2" t="inlineStr">
        <is>
          <t>Показан понятный индикатор, кнопка защищена от дубля. Выполнен один изменяющий запрос, сохранено одно значение; после ответа интерфейс показывает фактическое состояние.</t>
        </is>
      </c>
      <c r="H8" s="21" t="inlineStr">
        <is>
          <t>High</t>
        </is>
      </c>
      <c r="I8" s="3" t="inlineStr">
        <is>
          <t>Not Run</t>
        </is>
      </c>
      <c r="J8" s="2" t="inlineStr">
        <is>
          <t>web|api|negative</t>
        </is>
      </c>
    </row>
    <row r="9" ht="109.6" customHeight="1">
      <c r="A9" s="3" t="inlineStr">
        <is>
          <t>TC-380</t>
        </is>
      </c>
      <c r="B9" s="2" t="inlineStr">
        <is>
          <t>Web/API — Релизная приёмка</t>
        </is>
      </c>
      <c r="C9" s="2" t="inlineStr">
        <is>
          <t>Release Gate / Эксплуатация</t>
        </is>
      </c>
      <c r="D9" s="2" t="inlineStr">
        <is>
          <t>Временная недоступность API не требует перезапуска браузера
Краткий отказ бэкенда не должен превращать кабинет в постоянно сломанный. После восстановления чтение повторяется, а неподтверждённый ввод не исчезает.</t>
        </is>
      </c>
      <c r="E9" s="2" t="inlineStr">
        <is>
          <t>На staging можно на короткое время получить согласованный 503 только для тестовой сессии.</t>
        </is>
      </c>
      <c r="F9" s="2" t="inlineStr">
        <is>
          <t>1. Открой карточку и введи несохранённое тестовое значение.
2. Включи временный отказ API и открой соседний раздел.
3. Прочитай сообщение об ошибке.
4. Верни API и повтори действие без перезагрузки браузера.
5. Вернись к форме и проверь данные.</t>
        </is>
      </c>
      <c r="G9" s="2" t="inlineStr">
        <is>
          <t>Ошибка объяснима и не маскируется ложным успехом. После возврата API кабинет снова работает без нового запуска; неподтверждённые данные не отправлены и не подменены.</t>
        </is>
      </c>
      <c r="H9" s="20" t="inlineStr">
        <is>
          <t>Critical</t>
        </is>
      </c>
      <c r="I9" s="3" t="inlineStr">
        <is>
          <t>Not Run</t>
        </is>
      </c>
      <c r="J9" s="2" t="inlineStr">
        <is>
          <t>web|api|recovery</t>
        </is>
      </c>
    </row>
    <row r="10" ht="109.6" customHeight="1">
      <c r="A10" s="3" t="inlineStr">
        <is>
          <t>TC-381</t>
        </is>
      </c>
      <c r="B10" s="2" t="inlineStr">
        <is>
          <t>Web/API — Релизная приёмка</t>
        </is>
      </c>
      <c r="C10" s="2" t="inlineStr">
        <is>
          <t>Release Gate / Эксплуатация</t>
        </is>
      </c>
      <c r="D10" s="2" t="inlineStr">
        <is>
          <t>Перезапуск бэкенда не создаёт второго захвата активного лида
Деплой или аварийный рестарт возможен во время работы оператора. После возврата сервер должен восстановить активную сессию или безопасно объяснить её состояние.</t>
        </is>
      </c>
      <c r="E10" s="2" t="inlineStr">
        <is>
          <t>Только staging. Оператор захватил тестового лида, но звонок ещё не начат. Согласован перезапуск одного экземпляра бэкенда.</t>
        </is>
      </c>
      <c r="F10" s="2" t="inlineStr">
        <is>
          <t>1. Запиши session ID, lead ID и число попыток.
2. Перезапусти бэкенд согласованным способом.
3. После готовности обнови режим обзвона того же оператора.
4. Одновременно запроси следующего лида вторым оператором.
5. Проверь сессии, блокировки и попытки через API.</t>
        </is>
      </c>
      <c r="G10" s="2" t="inlineStr">
        <is>
          <t>Первый оператор получает ту же активную сессию либо понятный безопасный возврат. Второй не получает этого лида, новой попытки и второй активной сессии не создаётся.</t>
        </is>
      </c>
      <c r="H10" s="20" t="inlineStr">
        <is>
          <t>Critical</t>
        </is>
      </c>
      <c r="I10" s="3" t="inlineStr">
        <is>
          <t>Not Run</t>
        </is>
      </c>
      <c r="J10" s="2" t="inlineStr">
        <is>
          <t>web|api|recovery</t>
        </is>
      </c>
    </row>
    <row r="11" ht="96.39999999999999" customHeight="1">
      <c r="A11" s="3" t="inlineStr">
        <is>
          <t>TC-382</t>
        </is>
      </c>
      <c r="B11" s="2" t="inlineStr">
        <is>
          <t>Web/API — Релизная приёмка</t>
        </is>
      </c>
      <c r="C11" s="2" t="inlineStr">
        <is>
          <t>Release Gate / Эксплуатация</t>
        </is>
      </c>
      <c r="D11" s="2" t="inlineStr">
        <is>
          <t>Выход останавливает живые потоки и очищает данные кабинета
После logout открытые SSE-потоки не должны продолжать приносить названия лидов и звонков на страницу входа или в новую сессию другого пользователя.</t>
        </is>
      </c>
      <c r="E11" s="2" t="inlineStr">
        <is>
          <t>Открыта таблица с активным SSE-потоком; можно создать тестовое событие после выхода.</t>
        </is>
      </c>
      <c r="F11" s="2" t="inlineStr">
        <is>
          <t>1. Открой Network и найди активный поток.
2. Выполни выход из системы.
3. После выхода создай новое тестовое событие компании.
4. Проверь страницу, Network, Console и кнопку Назад.
5. Войди пользователем другой компании.</t>
        </is>
      </c>
      <c r="G11" s="2" t="inlineStr">
        <is>
          <t>Поток закрывается или получает 401 без данных. Страница входа и новая компания не видят старые строки; кнопка Назад не восстанавливает кэш кабинета.</t>
        </is>
      </c>
      <c r="H11" s="20" t="inlineStr">
        <is>
          <t>Critical</t>
        </is>
      </c>
      <c r="I11" s="3" t="inlineStr">
        <is>
          <t>Not Run</t>
        </is>
      </c>
      <c r="J11" s="2" t="inlineStr">
        <is>
          <t>web|api|security</t>
        </is>
      </c>
    </row>
    <row r="12" ht="109.6" customHeight="1">
      <c r="A12" s="3" t="inlineStr">
        <is>
          <t>TC-383</t>
        </is>
      </c>
      <c r="B12" s="2" t="inlineStr">
        <is>
          <t>Web/API — Релизная приёмка</t>
        </is>
      </c>
      <c r="C12" s="2" t="inlineStr">
        <is>
          <t>Release Gate / Эксплуатация</t>
        </is>
      </c>
      <c r="D12" s="2" t="inlineStr">
        <is>
          <t>Обновление токена во время заполнения не стирает форму
Silent refresh может случиться в середине длинного подтверждения. Продление сессии не должно повторить запрос, очистить поля или преждевременно запустить отправку.</t>
        </is>
      </c>
      <c r="E12" s="2" t="inlineStr">
        <is>
          <t>Access token тестового оператора близок к истечению. Открыт итог звонка с несколькими незаполненными полями; автотаймер поставлен на паузу.</t>
        </is>
      </c>
      <c r="F12" s="2" t="inlineStr">
        <is>
          <t>1. Заполни несколько полей заметными значениями.
2. Дождись истечения access token.
3. Выполни безопасный запрос, вызывающий refresh.
4. Проверь Network и все введённые значения.
5. Сними паузу и подтверди результат один раз.</t>
        </is>
      </c>
      <c r="G12" s="2" t="inlineStr">
        <is>
          <t>Refresh проходит один раз, исходный запрос повторяется после него. Форма и таймер сохраняются; в AmoCRM уходит один подтверждённый результат.</t>
        </is>
      </c>
      <c r="H12" s="20" t="inlineStr">
        <is>
          <t>Critical</t>
        </is>
      </c>
      <c r="I12" s="3" t="inlineStr">
        <is>
          <t>Not Run</t>
        </is>
      </c>
      <c r="J12" s="2" t="inlineStr">
        <is>
          <t>web|api|boundary</t>
        </is>
      </c>
    </row>
    <row r="13" ht="122.8" customHeight="1">
      <c r="A13" s="3" t="inlineStr">
        <is>
          <t>TC-384</t>
        </is>
      </c>
      <c r="B13" s="2" t="inlineStr">
        <is>
          <t>Web/API — Релизная приёмка</t>
        </is>
      </c>
      <c r="C13" s="2" t="inlineStr">
        <is>
          <t>Release Gate / Эксплуатация</t>
        </is>
      </c>
      <c r="D13" s="2" t="inlineStr">
        <is>
          <t>Десять операторов одновременно получают разные лиды
Базовая приёмочная нагрузка очереди: общий пул должен выдержать одновременный старт рабочей группы без дублей и 5xx.</t>
        </is>
      </c>
      <c r="E13" s="2" t="inlineStr">
        <is>
          <t>Есть 10 тестовых операторов одного РОП, назначенная воронка и минимум 15 доступных лидов. До запуска согласован допустимый порог времени ответа.</t>
        </is>
      </c>
      <c r="F13" s="2" t="inlineStr">
        <is>
          <t>1. Подготовь 10 независимых сессий операторов.
2. Одновременно нажми Начать обзвон во всех сессиях.
3. Запиши время ответа, lead ID и session ID каждого.
4. Сравни уникальность ID и состояние оставшейся очереди.
5. Заверши или безопасно пропусти тестовые сессии.</t>
        </is>
      </c>
      <c r="G13" s="2" t="inlineStr">
        <is>
          <t>Все ответы укладываются в согласованный порог, 500/502 нет. Выдано 10 разных лидов и 10 сессий; остаток очереди уменьшился ровно на 10.</t>
        </is>
      </c>
      <c r="H13" s="20" t="inlineStr">
        <is>
          <t>Critical</t>
        </is>
      </c>
      <c r="I13" s="3" t="inlineStr">
        <is>
          <t>Not Run</t>
        </is>
      </c>
      <c r="J13" s="2" t="inlineStr">
        <is>
          <t>web|api|load</t>
        </is>
      </c>
    </row>
    <row r="14" ht="96.39999999999999" customHeight="1">
      <c r="A14" s="3" t="inlineStr">
        <is>
          <t>TC-385</t>
        </is>
      </c>
      <c r="B14" s="2" t="inlineStr">
        <is>
          <t>Web/API — Релизная приёмка</t>
        </is>
      </c>
      <c r="C14" s="2" t="inlineStr">
        <is>
          <t>Release Gate / Эксплуатация</t>
        </is>
      </c>
      <c r="D14" s="2" t="inlineStr">
        <is>
          <t>Последовательные правки AmoCRM и оператора не теряются молча
Менеджеры могут редактировать сделку в AmoCRM одновременно с Operator AI. Проверяем фактическое правило последнего подтверждённого изменения в обоих порядках.</t>
        </is>
      </c>
      <c r="E14" s="2" t="inlineStr">
        <is>
          <t>У тестового лида есть безопасное текстовое поле. Зафиксировано точное время каждого изменения и доступна история AmoCRM.</t>
        </is>
      </c>
      <c r="F14" s="2" t="inlineStr">
        <is>
          <t>1. Сначала измени поле в AmoCRM, дождись синхронизации, затем задай другое значение в Operator AI.
2. Сверь обе системы и историю.
3. Повтори на другом поле в обратном порядке: Operator AI, затем AmoCRM.
4. Дождись фоновой и webhook-синхронизации.
5. Сравни финальные значения и журналы.</t>
        </is>
      </c>
      <c r="G14" s="2" t="inlineStr">
        <is>
          <t>После каждого порядка обе системы сходятся на последнем подтверждённом значении. Предыдущее изменение видно в истории/журнале; нет третьего старого значения или дубля сделки.</t>
        </is>
      </c>
      <c r="H14" s="20" t="inlineStr">
        <is>
          <t>Critical</t>
        </is>
      </c>
      <c r="I14" s="3" t="inlineStr">
        <is>
          <t>Not Run</t>
        </is>
      </c>
      <c r="J14" s="2" t="inlineStr">
        <is>
          <t>web|api|conflict</t>
        </is>
      </c>
    </row>
    <row r="15" ht="96.39999999999999" customHeight="1">
      <c r="A15" s="3" t="inlineStr">
        <is>
          <t>TC-386</t>
        </is>
      </c>
      <c r="B15" s="2" t="inlineStr">
        <is>
          <t>Web/API — Релизная приёмка</t>
        </is>
      </c>
      <c r="C15" s="2" t="inlineStr">
        <is>
          <t>Release Gate / Эксплуатация</t>
        </is>
      </c>
      <c r="D15" s="2" t="inlineStr">
        <is>
          <t>Запоздавший старый вебхук не откатывает свежие данные
События сети могут прийти не по порядку. Старый webhook не должен вернуть статус или поле к значению, которое уже заменено в AmoCRM.</t>
        </is>
      </c>
      <c r="E15" s="2" t="inlineStr">
        <is>
          <t>Можно безопасно повторить сохранённый старый webhook тестового лида после нового изменения.</t>
        </is>
      </c>
      <c r="F15" s="2" t="inlineStr">
        <is>
          <t>1. Сохрани payload события со значением A.
2. В AmoCRM измени то же поле на B и дождись синхронизации.
3. Отправь старый payload A повторно.
4. Обнови карточку Operator AI и AmoCRM.
5. Проверь локальное зеркало и журнал обработки.</t>
        </is>
      </c>
      <c r="G15" s="2" t="inlineStr">
        <is>
          <t>Финальное значение остаётся B в обеих системах. Старое событие не откатывает данные, не создаёт новую сделку и не ломает последующие вебхуки.</t>
        </is>
      </c>
      <c r="H15" s="20" t="inlineStr">
        <is>
          <t>Critical</t>
        </is>
      </c>
      <c r="I15" s="3" t="inlineStr">
        <is>
          <t>Not Run</t>
        </is>
      </c>
      <c r="J15" s="2" t="inlineStr">
        <is>
          <t>api|boundary</t>
        </is>
      </c>
    </row>
    <row r="16" ht="96.39999999999999" customHeight="1">
      <c r="A16" s="3" t="inlineStr">
        <is>
          <t>TC-387</t>
        </is>
      </c>
      <c r="B16" s="2" t="inlineStr">
        <is>
          <t>Web/API — Релизная приёмка</t>
        </is>
      </c>
      <c r="C16" s="2" t="inlineStr">
        <is>
          <t>Release Gate / Эксплуатация</t>
        </is>
      </c>
      <c r="D16" s="2" t="inlineStr">
        <is>
          <t>Поздний результат AI не перезаписывает ручное подтверждение
Оператор может вручную завершить обработку раньше медленного AI. Поздний ответ не должен создать вторую отправку или изменить уже подтверждённые поля.</t>
        </is>
      </c>
      <c r="E16" s="2" t="inlineStr">
        <is>
          <t>На staging согласован контролируемо медленный AI-анализ; оператор может выполнить ручное подтверждение с отличимыми значениями.</t>
        </is>
      </c>
      <c r="F16" s="2" t="inlineStr">
        <is>
          <t>1. Запусти звонок и дождись начала медленного анализа.
2. Введи ручной статус и поля, затем подтверди один раз.
3. Запиши значения в AmoCRM.
4. Дождись позднего результата AI.
5. Снова проверь сессию, форму и AmoCRM.</t>
        </is>
      </c>
      <c r="G16" s="2" t="inlineStr">
        <is>
          <t>Ручное подтверждение остаётся финальным. Поздний AI не создаёт вторую отправку, не меняет статус/поля и не возвращает закрытую сессию в работу.</t>
        </is>
      </c>
      <c r="H16" s="20" t="inlineStr">
        <is>
          <t>Critical</t>
        </is>
      </c>
      <c r="I16" s="3" t="inlineStr">
        <is>
          <t>Not Run</t>
        </is>
      </c>
      <c r="J16" s="2" t="inlineStr">
        <is>
          <t>web|api|concurrency</t>
        </is>
      </c>
    </row>
    <row r="17" ht="109.6" customHeight="1">
      <c r="A17" s="3" t="inlineStr">
        <is>
          <t>TC-388</t>
        </is>
      </c>
      <c r="B17" s="2" t="inlineStr">
        <is>
          <t>Web/API — Релизная приёмка</t>
        </is>
      </c>
      <c r="C17" s="2" t="inlineStr">
        <is>
          <t>Release Gate / Эксплуатация</t>
        </is>
      </c>
      <c r="D17" s="2" t="inlineStr">
        <is>
          <t>Некорректный ответ AI не ломает звонок и форму
Модель может вернуть невалидный JSON, неизвестный status ID или значение вне enum. Система должна отвергнуть ошибочные части и сохранить возможность ручной работы.</t>
        </is>
      </c>
      <c r="E17" s="2" t="inlineStr">
        <is>
          <t>На staging доступна заглушка или безопасный способ вернуть некорректный AI-ответ без обращения к production.</t>
        </is>
      </c>
      <c r="F17" s="2" t="inlineStr">
        <is>
          <t>1. По очереди верни невалидный JSON, неизвестный status ID и неверный enum.
2. Для каждого варианта дождись экрана результата.
3. Проверь сообщение, поля и выбранный статус.
4. Заполни корректный ручной результат.
5. Подтверди и проверь AmoCRM.</t>
        </is>
      </c>
      <c r="G17" s="2" t="inlineStr">
        <is>
          <t>Нет белого экрана и автоматической отправки мусора. Неизвестные статус/enum не принимаются; оператор видит понятное состояние и успешно сохраняет ручной результат.</t>
        </is>
      </c>
      <c r="H17" s="20" t="inlineStr">
        <is>
          <t>Critical</t>
        </is>
      </c>
      <c r="I17" s="3" t="inlineStr">
        <is>
          <t>Not Run</t>
        </is>
      </c>
      <c r="J17" s="2" t="inlineStr">
        <is>
          <t>web|api|negative</t>
        </is>
      </c>
    </row>
    <row r="18" ht="96.39999999999999" customHeight="1">
      <c r="A18" s="3" t="inlineStr">
        <is>
          <t>TC-389</t>
        </is>
      </c>
      <c r="B18" s="2" t="inlineStr">
        <is>
          <t>Web/API — Релизная приёмка</t>
        </is>
      </c>
      <c r="C18" s="2" t="inlineStr">
        <is>
          <t>Release Gate / Эксплуатация</t>
        </is>
      </c>
      <c r="D18" s="2" t="inlineStr">
        <is>
          <t>Повреждённое аудио не вызывает бесконечные повторы
Файл может быть пустым, обрезанным или иметь неверный формат. Такая запись не должна занимать очередь AI бесконечно и мешать другим звонкам.</t>
        </is>
      </c>
      <c r="E18" s="2" t="inlineStr">
        <is>
          <t>Подготовлены три безопасных тестовых события: пустой файл, обрезанный файл и неподдерживаемый формат. Есть доступ к журналу staging.</t>
        </is>
      </c>
      <c r="F18" s="2" t="inlineStr">
        <is>
          <t>1. По очереди отправь три события на обработку.
2. Наблюдай статусы и число попыток в течение окна retry.
3. Параллельно обработай одну корректную короткую запись.
4. Проверь сообщения интерфейса и журнал.
5. Повтори открытие проблемных звонков.</t>
        </is>
      </c>
      <c r="G18" s="2" t="inlineStr">
        <is>
          <t>Проблемные записи завершаются контролируемой ошибкой не более установленного лимита попыток. Корректная запись обрабатывается; память и очередь не растут бесконечно.</t>
        </is>
      </c>
      <c r="H18" s="20" t="inlineStr">
        <is>
          <t>Critical</t>
        </is>
      </c>
      <c r="I18" s="3" t="inlineStr">
        <is>
          <t>Not Run</t>
        </is>
      </c>
      <c r="J18" s="2" t="inlineStr">
        <is>
          <t>api|negative</t>
        </is>
      </c>
    </row>
    <row r="19" ht="109.6" customHeight="1">
      <c r="A19" s="3" t="inlineStr">
        <is>
          <t>TC-390</t>
        </is>
      </c>
      <c r="B19" s="2" t="inlineStr">
        <is>
          <t>Web/API — Релизная приёмка</t>
        </is>
      </c>
      <c r="C19" s="2" t="inlineStr">
        <is>
          <t>Release Gate / Эксплуатация</t>
        </is>
      </c>
      <c r="D19" s="2" t="inlineStr">
        <is>
          <t>Длинный разговор обрабатывается без молчаливого обрезания
Реальный разговор может длиться дольше обычного. Запись, транскрипция, резюме и поля должны относиться ко всему разговору либо явно сообщать известное ограничение.</t>
        </is>
      </c>
      <c r="E19" s="2" t="inlineStr">
        <is>
          <t>Есть согласованная длинная тестовая запись с контрольными фразами в начале, середине и конце; её обработка не нарушает лимит тестового AI.</t>
        </is>
      </c>
      <c r="F19" s="2" t="inlineStr">
        <is>
          <t>1. Загрузи или создай длинный тестовый звонок.
2. Дождись обработки в пределах согласованного максимального времени.
3. Найди все три контрольные фразы в транскрипции.
4. Сверь резюме и извлечённые поля.
5. Проверь журнал на таймауты и повторные анализы.</t>
        </is>
      </c>
      <c r="G19" s="2" t="inlineStr">
        <is>
          <t>Все контрольные части учтены либо пользователь получает явное сообщение о лимите; молчаливого обрезания нет. Анализ создаётся один раз и не блокирует другие звонки.</t>
        </is>
      </c>
      <c r="H19" s="21" t="inlineStr">
        <is>
          <t>High</t>
        </is>
      </c>
      <c r="I19" s="3" t="inlineStr">
        <is>
          <t>Not Run</t>
        </is>
      </c>
      <c r="J19" s="2" t="inlineStr">
        <is>
          <t>web|api|boundary</t>
        </is>
      </c>
    </row>
    <row r="20" ht="96.39999999999999" customHeight="1">
      <c r="A20" s="3" t="inlineStr">
        <is>
          <t>TC-391</t>
        </is>
      </c>
      <c r="B20" s="2" t="inlineStr">
        <is>
          <t>Web/API — Релизная приёмка</t>
        </is>
      </c>
      <c r="C20" s="2" t="inlineStr">
        <is>
          <t>Release Gate / Эксплуатация</t>
        </is>
      </c>
      <c r="D20" s="2" t="inlineStr">
        <is>
          <t>Отказ в доступе к микрофону даёт рабочий выход
Пользователь может случайно запретить микрофон. Экран не должен зависнуть в подготовке браузерного телефона или начинать немой звонок.</t>
        </is>
      </c>
      <c r="E20" s="2" t="inlineStr">
        <is>
          <t>В браузере для staging явно запрещён доступ к микрофону; серверный click-to-call либо инструкция по восстановлению доступны согласно конфигурации.</t>
        </is>
      </c>
      <c r="F20" s="2" t="inlineStr">
        <is>
          <t>1. Открой режим обзвона и захвати тестового лида.
2. Дождись окончания попытки подготовки WebRTC.
3. Прочитай сообщение и доступные действия.
4. Разреши микрофон либо выбери предусмотренный fallback.
5. Повтори безопасный звонок.</t>
        </is>
      </c>
      <c r="G20" s="2" t="inlineStr">
        <is>
          <t>Нет бесконечной подготовки и немого автоматического вызова. Пользователь получает понятный способ разрешить микрофон или рабочий fallback; повтор проходит успешно.</t>
        </is>
      </c>
      <c r="H20" s="20" t="inlineStr">
        <is>
          <t>Critical</t>
        </is>
      </c>
      <c r="I20" s="3" t="inlineStr">
        <is>
          <t>Not Run</t>
        </is>
      </c>
      <c r="J20" s="2" t="inlineStr">
        <is>
          <t>web|negative</t>
        </is>
      </c>
    </row>
    <row r="21" ht="96.39999999999999" customHeight="1">
      <c r="A21" s="3" t="inlineStr">
        <is>
          <t>TC-392</t>
        </is>
      </c>
      <c r="B21" s="2" t="inlineStr">
        <is>
          <t>Web/API — Релизная приёмка</t>
        </is>
      </c>
      <c r="C21" s="2" t="inlineStr">
        <is>
          <t>Release Gate / Эксплуатация</t>
        </is>
      </c>
      <c r="D21" s="2" t="inlineStr">
        <is>
          <t>Закрытие вкладки во время сессии не создаёт новый звонок
Оператор может случайно закрыть вкладку после захвата лида. Возврат должен восстановить ту же сессию и введённые серверные данные, а не начать второй вызов.</t>
        </is>
      </c>
      <c r="E21" s="2" t="inlineStr">
        <is>
          <t>Оператор захватил лида; звонок начат или открыт итог, session ID записан.</t>
        </is>
      </c>
      <c r="F21" s="2" t="inlineStr">
        <is>
          <t>1. Во время выбранной фазы закрой вкладку браузера.
2. Снова открой кабинет и режим обзвона под тем же оператором.
3. Сравни lead ID и session ID.
4. Проверь попытки, блокировку и историю PBX.
5. Безопасно заверши восстановленную сессию.</t>
        </is>
      </c>
      <c r="G21" s="2" t="inlineStr">
        <is>
          <t>Восстановлена та же сессия или показано её однозначное завершённое состояние. Второй вызов, новая попытка и новый захват этого лида не создаются.</t>
        </is>
      </c>
      <c r="H21" s="20" t="inlineStr">
        <is>
          <t>Critical</t>
        </is>
      </c>
      <c r="I21" s="3" t="inlineStr">
        <is>
          <t>Not Run</t>
        </is>
      </c>
      <c r="J21" s="2" t="inlineStr">
        <is>
          <t>web|api|recovery</t>
        </is>
      </c>
    </row>
    <row r="22" ht="109.6" customHeight="1">
      <c r="A22" s="3" t="inlineStr">
        <is>
          <t>TC-393</t>
        </is>
      </c>
      <c r="B22" s="2" t="inlineStr">
        <is>
          <t>Web/API — Релизная приёмка</t>
        </is>
      </c>
      <c r="C22" s="2" t="inlineStr">
        <is>
          <t>Release Gate / Эксплуатация</t>
        </is>
      </c>
      <c r="D22" s="2" t="inlineStr">
        <is>
          <t>Сигнал занято учитывается как одна неудачная попытка
Занято — состоявшийся технический исход набора, но не разговор. Он не должен запускать AI, менять статус AmoCRM автоматически или повторно набирать другой номер.</t>
        </is>
      </c>
      <c r="E22" s="2" t="inlineStr">
        <is>
          <t>Тестовый номер контролируемо отвечает сигналом занято. Известны исходный статус и счётчик.</t>
        </is>
      </c>
      <c r="F22" s="2" t="inlineStr">
        <is>
          <t>1. Запусти один звонок на занятый номер.
2. Дождись завершения вызова и экрана итога.
3. Не выбирай статус и дождись обработки согласно правилу недозвона.
4. Проверь вызовы PBX, попытки, AI и AmoCRM.
5. Проверь время следующей доступности лида.</t>
        </is>
      </c>
      <c r="G22" s="2" t="inlineStr">
        <is>
          <t>Есть один вызов и одна новая попытка; второго номера и AI-анализа нет. Статус AmoCRM не меняется автоматически, повтор планируется по настройкам.</t>
        </is>
      </c>
      <c r="H22" s="20" t="inlineStr">
        <is>
          <t>Critical</t>
        </is>
      </c>
      <c r="I22" s="3" t="inlineStr">
        <is>
          <t>Not Run</t>
        </is>
      </c>
      <c r="J22" s="2" t="inlineStr">
        <is>
          <t>web|api|boundary</t>
        </is>
      </c>
    </row>
    <row r="23" ht="109.6" customHeight="1">
      <c r="A23" s="3" t="inlineStr">
        <is>
          <t>TC-394</t>
        </is>
      </c>
      <c r="B23" s="2" t="inlineStr">
        <is>
          <t>Web/API — Релизная приёмка</t>
        </is>
      </c>
      <c r="C23" s="2" t="inlineStr">
        <is>
          <t>Release Gate / Эксплуатация</t>
        </is>
      </c>
      <c r="D23" s="2" t="inlineStr">
        <is>
          <t>Очень короткий ответ не получает системный плохой статус
Клиент может ответить одной фразой или попасть на автоответчик. Если соединение было, результат определяется содержанием, а не автоматически `Ko'tarmadi` или `Sifatsiz`.</t>
        </is>
      </c>
      <c r="E23" s="2" t="inlineStr">
        <is>
          <t>Есть две короткие записи: человек отвечает нейтральной фразой и автоответчик. Воронка содержит рабочий статус и системные плохие статусы.</t>
        </is>
      </c>
      <c r="F23" s="2" t="inlineStr">
        <is>
          <t>1. Обработай короткий человеческий ответ.
2. Проверь транскрипцию, статус и поля.
3. Обработай запись автоответчика.
4. Сравни результат и число попыток.
5. Проверь доступные оператору варианты ручной коррекции.</t>
        </is>
      </c>
      <c r="G23" s="2" t="inlineStr">
        <is>
          <t>Система не предлагает `Sifatsiz`/`Yangi`; состоявшееся соединение не становится `Ko'tarmadi` только из-за длины. Неуверенный результат можно исправить вручную.</t>
        </is>
      </c>
      <c r="H23" s="21" t="inlineStr">
        <is>
          <t>High</t>
        </is>
      </c>
      <c r="I23" s="3" t="inlineStr">
        <is>
          <t>Not Run</t>
        </is>
      </c>
      <c r="J23" s="2" t="inlineStr">
        <is>
          <t>web|api|boundary</t>
        </is>
      </c>
    </row>
    <row r="24" ht="96.39999999999999" customHeight="1">
      <c r="A24" s="3" t="inlineStr">
        <is>
          <t>TC-395</t>
        </is>
      </c>
      <c r="B24" s="2" t="inlineStr">
        <is>
          <t>Web/API — Релизная приёмка</t>
        </is>
      </c>
      <c r="C24" s="2" t="inlineStr">
        <is>
          <t>Release Gate / Эксплуатация</t>
        </is>
      </c>
      <c r="D24" s="2" t="inlineStr">
        <is>
          <t>Две вкладки одного оператора не запускают два параллельных звонка
Один пользователь может открыть кабинет дважды. Серверная сессия должна быть общей, чтобы обе вкладки не позвонили разным клиентам одновременно.</t>
        </is>
      </c>
      <c r="E24" s="2" t="inlineStr">
        <is>
          <t>Один оператор вошёл в двух вкладках, в очереди минимум два лида.</t>
        </is>
      </c>
      <c r="F24" s="2" t="inlineStr">
        <is>
          <t>1. Одновременно открой режим обзвона в обеих вкладках.
2. Одновременно нажми Начать обзвон.
3. Сравни lead ID и session ID в Network.
4. Попробуй запустить набор из обеих вкладок.
5. Проверь OnlinePBX и активные сессии.</t>
        </is>
      </c>
      <c r="G24" s="2" t="inlineStr">
        <is>
          <t>Обе вкладки видят одну активную сессию либо одна получает понятный отказ. Создан один вызов одному лиду; второй лид остаётся в очереди.</t>
        </is>
      </c>
      <c r="H24" s="20" t="inlineStr">
        <is>
          <t>Critical</t>
        </is>
      </c>
      <c r="I24" s="3" t="inlineStr">
        <is>
          <t>Not Run</t>
        </is>
      </c>
      <c r="J24" s="2" t="inlineStr">
        <is>
          <t>web|api|concurrency</t>
        </is>
      </c>
    </row>
    <row r="25" ht="109.6" customHeight="1">
      <c r="A25" s="3" t="inlineStr">
        <is>
          <t>TC-396</t>
        </is>
      </c>
      <c r="B25" s="2" t="inlineStr">
        <is>
          <t>Web/API — Релизная приёмка</t>
        </is>
      </c>
      <c r="C25" s="2" t="inlineStr">
        <is>
          <t>Release Gate / Эксплуатация</t>
        </is>
      </c>
      <c r="D25" s="2" t="inlineStr">
        <is>
          <t>Две компании параллельно проходят критический путь без смешения
Мультиарендность проверяется не только чтением ID, но и одновременной реальной работой двух клиентов с разными CRM, телефонией и правилами.</t>
        </is>
      </c>
      <c r="E25" s="2" t="inlineStr">
        <is>
          <t>Есть РОП-А и РОП-Б с отдельными тестовыми AmoCRM/OnlinePBX, операторами, статусами и полями.</t>
        </is>
      </c>
      <c r="F25" s="2" t="inlineStr">
        <is>
          <t>1. Одновременно запусти по одному звонку в каждой компании.
2. Заверши разговоры с разными статусами и значениями.
3. Дождись AI и синхронизации.
4. Проверь обе AmoCRM, истории звонков, очереди и журналы.
5. Сравни config, rop, operator, deal и field ID.</t>
        </is>
      </c>
      <c r="G25" s="2" t="inlineStr">
        <is>
          <t>Каждая компания получает только свой звонок, анализ, статус и поля. Нет перекрёстных ID, токенов, аудио или задержки одной компании из-за ошибки другой.</t>
        </is>
      </c>
      <c r="H25" s="20" t="inlineStr">
        <is>
          <t>Critical</t>
        </is>
      </c>
      <c r="I25" s="3" t="inlineStr">
        <is>
          <t>Not Run</t>
        </is>
      </c>
      <c r="J25" s="2" t="inlineStr">
        <is>
          <t>web|api|e2e</t>
        </is>
      </c>
    </row>
    <row r="26" ht="122.8" customHeight="1">
      <c r="A26" s="3" t="inlineStr">
        <is>
          <t>TC-397</t>
        </is>
      </c>
      <c r="B26" s="2" t="inlineStr">
        <is>
          <t>Web/API — Релизная приёмка</t>
        </is>
      </c>
      <c r="C26" s="2" t="inlineStr">
        <is>
          <t>Release Gate / Эксплуатация</t>
        </is>
      </c>
      <c r="D26" s="2" t="inlineStr">
        <is>
          <t>Новый клиент проходит путь от создания РОП до первого звонка
Главный клиентский onboarding: супер-админ создаёт компанию и интеграции, РОП настраивает оператора и воронки, оператор успешно выполняет первый звонок.</t>
        </is>
      </c>
      <c r="E26" s="2" t="inlineStr">
        <is>
          <t>Только staging. Есть отдельные чистые тестовые AmoCRM и OnlinePBX, секреты в `.env`, уникальные данные нового клиента и тестовый лид.</t>
        </is>
      </c>
      <c r="F26" s="2" t="inlineStr">
        <is>
          <t>1. Супер-админ создай РОП и подключи обе интеграции.
2. Под РОП синхронизируй воронки, проверь правила и создай оператора с extension.
3. Назначь оператору воронку и сохрани критерии.
4. Под оператором начни смену, получи лида и выполни отвеченный звонок.
5. Подтверди результат и проверь AmoCRM, историю звонков и смену.</t>
        </is>
      </c>
      <c r="G26" s="2" t="inlineStr">
        <is>
          <t>Новый клиент без ручной правки базы проходит весь путь до первого успешного звонка. Результат один раз записан в его AmoCRM; аудио/AI/смена относятся к новому оператору.</t>
        </is>
      </c>
      <c r="H26" s="20" t="inlineStr">
        <is>
          <t>Critical</t>
        </is>
      </c>
      <c r="I26" s="3" t="inlineStr">
        <is>
          <t>Not Run</t>
        </is>
      </c>
      <c r="J26" s="2" t="inlineStr">
        <is>
          <t>web|api|e2e</t>
        </is>
      </c>
    </row>
    <row r="27" ht="136" customHeight="1">
      <c r="A27" s="3" t="inlineStr">
        <is>
          <t>TC-398</t>
        </is>
      </c>
      <c r="B27" s="2" t="inlineStr">
        <is>
          <t>Web/API — Релизная приёмка</t>
        </is>
      </c>
      <c r="C27" s="2" t="inlineStr">
        <is>
          <t>Release Gate / Эксплуатация</t>
        </is>
      </c>
      <c r="D27" s="2" t="inlineStr">
        <is>
          <t>Один лид проходит полный поддерживаемый жизненный цикл
Проверяем цепочку, которой реально будет пользоваться клиент: новый лид, звонок, повтор, встреча, сегодняшний визит и финальный статус без потери истории.</t>
        </is>
      </c>
      <c r="E27" s="2" t="inlineStr">
        <is>
          <t>В тестовой воронке настроены все поддерживаемые статусы и поля времени. Для фиолетовых функций используется только уже выпущенная часть скоупа.</t>
        </is>
      </c>
      <c r="F27" s="2" t="inlineStr">
        <is>
          <t>1. Создай Yangi-лида в AmoCRM и дождись Operator AI.
2. Проведи недозвон и проверь попытку без автосмены статуса.
3. Следующим отвеченным звонком назначь перезвон и дождись его очереди.
4. Назначь встречу, проверь переход в день визита и звонок за час.
5. Заверши лид поддерживаемым финальным статусом и проверь историю.</t>
        </is>
      </c>
      <c r="G27" s="2" t="inlineStr">
        <is>
          <t>На каждом этапе статус, время, очередь и попытки соответствуют правилам. История и AmoCRM синхронны, лид не дублируется и после финала больше не выдаётся.</t>
        </is>
      </c>
      <c r="H27" s="20" t="inlineStr">
        <is>
          <t>Critical</t>
        </is>
      </c>
      <c r="I27" s="3" t="inlineStr">
        <is>
          <t>Not Run</t>
        </is>
      </c>
      <c r="J27" s="2" t="inlineStr">
        <is>
          <t>web|api|e2e</t>
        </is>
      </c>
    </row>
    <row r="28" ht="136" customHeight="1">
      <c r="A28" s="3" t="inlineStr">
        <is>
          <t>TC-399</t>
        </is>
      </c>
      <c r="B28" s="2" t="inlineStr">
        <is>
          <t>Web/API — Релизная приёмка</t>
        </is>
      </c>
      <c r="C28" s="2" t="inlineStr">
        <is>
          <t>Release Gate / Эксплуатация</t>
        </is>
      </c>
      <c r="D28" s="2" t="inlineStr">
        <is>
          <t>Все бизнес-методы API проверены матрицей ролей
Выборочные проверки не гарантируют отсутствие новой незакрытой двери. Перед клиентским релизом каждый метод OpenAPI проверяется под гостем и тремя ролями.</t>
        </is>
      </c>
      <c r="E28" s="2" t="inlineStr">
        <is>
          <t>Сохранён OpenAPI проверяемого релиза и согласована матрица `метод × гость/super_admin/ROP/operator` с ожидаемыми кодами. Используются только безопасные тестовые ID.</t>
        </is>
      </c>
      <c r="F28" s="2" t="inlineStr">
        <is>
          <t>1. Исключи только служебные методы, явно помеченные вне продукта.
2. Для каждого бизнес-метода выполни запрос без токена.
3. Повтори под super_admin, ROP и operator с безопасным payload.
4. Для ID-методов повтори запрос со своим и чужим tenant ID.
5. Запиши все отклонения ожидаемого кода и наличие данных в ответе.</t>
        </is>
      </c>
      <c r="G28" s="2" t="inlineStr">
        <is>
          <t>Каждая комбинация совпадает с утверждённой матрицей. Запрещённые запросы дают 401/403/404 без данных и побочных изменений; разрешённые работают только в своём tenant.</t>
        </is>
      </c>
      <c r="H28" s="20" t="inlineStr">
        <is>
          <t>Critical</t>
        </is>
      </c>
      <c r="I28" s="3" t="inlineStr">
        <is>
          <t>Not Run</t>
        </is>
      </c>
      <c r="J28" s="2" t="inlineStr">
        <is>
          <t>api|security</t>
        </is>
      </c>
    </row>
    <row r="29" ht="122.8" customHeight="1">
      <c r="A29" s="3" t="inlineStr">
        <is>
          <t>TC-400</t>
        </is>
      </c>
      <c r="B29" s="2" t="inlineStr">
        <is>
          <t>Web/API — Релизная приёмка</t>
        </is>
      </c>
      <c r="C29" s="2" t="inlineStr">
        <is>
          <t>Release Gate / Эксплуатация</t>
        </is>
      </c>
      <c r="D29" s="2" t="inlineStr">
        <is>
          <t>Произвольный сайт не может обращаться к защищённому API
CORS должен разрешать только опубликованные адреса админки и лендинга. Чужой сайт не должен читать ответы с пользовательской сессией.</t>
        </is>
      </c>
      <c r="E29" s="2" t="inlineStr">
        <is>
          <t>Известны разрешённые staging origins. Подготовлен отдельный локальный/тестовый origin, которого нет в allowlist; production не используется.</t>
        </is>
      </c>
      <c r="F29" s="2" t="inlineStr">
        <is>
          <t>1. С разрешённой админки выполни обычный защищённый запрос и запиши CORS-заголовки.
2. С неизвестного origin отправь preflight к тому же методу.
3. Попробуй фактический запрос с credentials из браузера неизвестного origin.
4. Повтори для публичного создания demo-заявки.
5. Проверь ответы, браузерную консоль и отсутствие изменений.</t>
        </is>
      </c>
      <c r="G29" s="2" t="inlineStr">
        <is>
          <t>Разрешённый origin работает. Неизвестный origin не получает разрешающих CORS-заголовков и не читает защищённые данные; изменяющий защищённый запрос не выполнен.</t>
        </is>
      </c>
      <c r="H29" s="20" t="inlineStr">
        <is>
          <t>Critical</t>
        </is>
      </c>
      <c r="I29" s="3" t="inlineStr">
        <is>
          <t>Not Run</t>
        </is>
      </c>
      <c r="J29" s="2" t="inlineStr">
        <is>
          <t>web|api|security</t>
        </is>
      </c>
    </row>
  </sheetData>
  <autoFilter ref="A1:J29"/>
  <conditionalFormatting sqref="I2:I59">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9" showDropDown="0" showInputMessage="0" showErrorMessage="0" allowBlank="1" errorTitle="Недопустимое значение" error="Выбери значение из списка: Critical, High, Medium, Low" type="list">
      <formula1>"Critical,High,Medium,Low"</formula1>
    </dataValidation>
    <dataValidation sqref="I2:I59"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2026-07-28T17:50:54Z</dcterms:created>
  <dcterms:modified xsi:type="dcterms:W3CDTF">2026-07-28T17:50:54Z</dcterms:modified>
</cp:coreProperties>
</file>