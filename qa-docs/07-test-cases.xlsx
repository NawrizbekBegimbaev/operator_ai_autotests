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01 Авторизация" sheetId="2" state="visible" r:id="rId2"/>
    <sheet name="02 Права и изоляция" sheetId="3" state="visible" r:id="rId3"/>
  </sheets>
  <definedNames>
    <definedName name="_xlnm._FilterDatabase" localSheetId="1" hidden="1">'01 Авторизация'!$A$1:$L$21</definedName>
    <definedName name="_xlnm._FilterDatabase" localSheetId="2" hidden="1">'02 Права и изоляция'!$A$1:$L$24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2247C9"/>
      <sz val="14"/>
    </font>
    <font>
      <i val="1"/>
      <color rgb="00595959"/>
      <sz val="10"/>
    </font>
    <font>
      <i val="1"/>
      <color rgb="009C000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2247C9"/>
      </patternFill>
    </fill>
    <fill>
      <patternFill patternType="solid">
        <fgColor rgb="00E8EDFB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pivotButton="0" quotePrefix="0" xfId="0"/>
    <xf numFmtId="9" fontId="0" fillId="0" borderId="1" pivotButton="0" quotePrefix="0" xfId="0"/>
    <xf numFmtId="0" fontId="5" fillId="3" borderId="1" pivotButton="0" quotePrefix="0" xfId="0"/>
    <xf numFmtId="9" fontId="5" fillId="3" borderId="1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  <dxf>
      <font>
        <color rgb="0059595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Operator AI — тест-кейсы ручного тестирования</t>
        </is>
      </c>
    </row>
    <row r="2" ht="40" customHeight="1">
      <c r="A2" s="2" t="inlineStr">
        <is>
          <t>Как пользоваться: открой лист модуля, выполни шаги кейса на тестовом стенде, запиши «Фактический результат» и поставь «Статус» из выпадающего списка. Сводка ниже пересчитается сама.</t>
        </is>
      </c>
    </row>
    <row r="3" ht="40" customHeight="1">
      <c r="A3" s="3" t="inlineStr">
        <is>
          <t>Все проверки — только на тестовом стенде (staging). Учётные данные и токены — в .env, в этот файл их не вписываем. Названия кнопок даны по-русски, в скобках — узбекский вариант интерфейса. Колонка «Способ проверки»: UI — через браузер, API — запросом (curl/Postman, команда дана в шагах), UI+API — комбинированно. {STAGE_API_URL} в командах замени на адрес бэкенда тестового стенда из .env.</t>
        </is>
      </c>
    </row>
    <row r="5">
      <c r="A5" s="4" t="inlineStr">
        <is>
          <t>Модуль</t>
        </is>
      </c>
      <c r="B5" s="4" t="inlineStr">
        <is>
          <t>Кейсов</t>
        </is>
      </c>
      <c r="C5" s="4" t="inlineStr">
        <is>
          <t>Passed</t>
        </is>
      </c>
      <c r="D5" s="4" t="inlineStr">
        <is>
          <t>Failed</t>
        </is>
      </c>
      <c r="E5" s="4" t="inlineStr">
        <is>
          <t>Blocked</t>
        </is>
      </c>
      <c r="F5" s="4" t="inlineStr">
        <is>
          <t>Not Run</t>
        </is>
      </c>
      <c r="G5" s="4" t="inlineStr">
        <is>
          <t>% пройдено</t>
        </is>
      </c>
    </row>
    <row r="6">
      <c r="A6" s="5" t="inlineStr">
        <is>
          <t>01 Авторизация</t>
        </is>
      </c>
      <c r="B6" s="5" t="n">
        <v>20</v>
      </c>
      <c r="C6" s="5">
        <f>COUNTIF('01 Авторизация'!$K$2:$K$21,"Passed")</f>
        <v/>
      </c>
      <c r="D6" s="5">
        <f>COUNTIF('01 Авторизация'!$K$2:$K$21,"Failed")</f>
        <v/>
      </c>
      <c r="E6" s="5">
        <f>COUNTIF('01 Авторизация'!$K$2:$K$21,"Blocked")</f>
        <v/>
      </c>
      <c r="F6" s="5">
        <f>COUNTIF('01 Авторизация'!$K$2:$K$21,"Not Run")</f>
        <v/>
      </c>
      <c r="G6" s="6">
        <f>IF(B6=0,0,C6/B6)</f>
        <v/>
      </c>
    </row>
    <row r="7">
      <c r="A7" s="5" t="inlineStr">
        <is>
          <t>02 Права и изоляция</t>
        </is>
      </c>
      <c r="B7" s="5" t="n">
        <v>23</v>
      </c>
      <c r="C7" s="5">
        <f>COUNTIF('02 Права и изоляция'!$K$2:$K$24,"Passed")</f>
        <v/>
      </c>
      <c r="D7" s="5">
        <f>COUNTIF('02 Права и изоляция'!$K$2:$K$24,"Failed")</f>
        <v/>
      </c>
      <c r="E7" s="5">
        <f>COUNTIF('02 Права и изоляция'!$K$2:$K$24,"Blocked")</f>
        <v/>
      </c>
      <c r="F7" s="5">
        <f>COUNTIF('02 Права и изоляция'!$K$2:$K$24,"Not Run")</f>
        <v/>
      </c>
      <c r="G7" s="6">
        <f>IF(B7=0,0,C7/B7)</f>
        <v/>
      </c>
    </row>
    <row r="8">
      <c r="A8" s="7" t="inlineStr">
        <is>
          <t>ИТОГО (без отложенных)</t>
        </is>
      </c>
      <c r="B8" s="7">
        <f>SUM(B6:B7)</f>
        <v/>
      </c>
      <c r="C8" s="7">
        <f>SUM(C6:C7)</f>
        <v/>
      </c>
      <c r="D8" s="7">
        <f>SUM(D6:D7)</f>
        <v/>
      </c>
      <c r="E8" s="7">
        <f>SUM(E6:E7)</f>
        <v/>
      </c>
      <c r="F8" s="7">
        <f>SUM(F6:F7)</f>
        <v/>
      </c>
      <c r="G8" s="8">
        <f>IF(B8=0,0,C8/B8)</f>
        <v/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42" customWidth="1" min="3" max="3"/>
    <col width="32" customWidth="1" min="4" max="4"/>
    <col width="58" customWidth="1" min="5" max="5"/>
    <col width="11" customWidth="1" min="6" max="6"/>
    <col width="13" customWidth="1" min="7" max="7"/>
    <col width="12" customWidth="1" min="8" max="8"/>
    <col width="46" customWidth="1" min="9" max="9"/>
    <col width="26" customWidth="1" min="10" max="10"/>
    <col width="11" customWidth="1" min="11" max="11"/>
    <col width="14" customWidth="1" min="12" max="12"/>
  </cols>
  <sheetData>
    <row r="1" ht="28" customHeight="1">
      <c r="A1" s="9" t="inlineStr">
        <is>
          <t>ID</t>
        </is>
      </c>
      <c r="B1" s="9" t="inlineStr">
        <is>
          <t>Краткое описание</t>
        </is>
      </c>
      <c r="C1" s="9" t="inlineStr">
        <is>
          <t>Полное описание</t>
        </is>
      </c>
      <c r="D1" s="9" t="inlineStr">
        <is>
          <t>Предусловия</t>
        </is>
      </c>
      <c r="E1" s="9" t="inlineStr">
        <is>
          <t>Шаги</t>
        </is>
      </c>
      <c r="F1" s="9" t="inlineStr">
        <is>
          <t>Приоритет</t>
        </is>
      </c>
      <c r="G1" s="9" t="inlineStr">
        <is>
          <t>Тип</t>
        </is>
      </c>
      <c r="H1" s="9" t="inlineStr">
        <is>
          <t>Способ проверки</t>
        </is>
      </c>
      <c r="I1" s="9" t="inlineStr">
        <is>
          <t>Ожидаемый результат</t>
        </is>
      </c>
      <c r="J1" s="9" t="inlineStr">
        <is>
          <t>Фактический результат</t>
        </is>
      </c>
      <c r="K1" s="9" t="inlineStr">
        <is>
          <t>Статус</t>
        </is>
      </c>
      <c r="L1" s="9" t="inlineStr">
        <is>
          <t>Автоматизация</t>
        </is>
      </c>
    </row>
    <row r="2" ht="83.19999999999999" customHeight="1">
      <c r="A2" s="10" t="inlineStr">
        <is>
          <t>TC-001</t>
        </is>
      </c>
      <c r="B2" s="11" t="inlineStr">
        <is>
          <t>Вход супер-админа с верными логином и паролем</t>
        </is>
      </c>
      <c r="C2" s="11" t="inlineStr">
        <is>
          <t>Проверяем, что сотрудник компании-владельца (супер-админ) может войти в систему и попадает на свой стартовый экран — список РОПов. Вход — «ворота» во всю систему, поэтому кейс критичный.</t>
        </is>
      </c>
      <c r="D2" s="11" t="inlineStr">
        <is>
          <t>Есть учётная запись супер-админа (логин и пароль — в .env, в кейсе не указываются).
Открыт браузер, никто не залогинен.</t>
        </is>
      </c>
      <c r="E2" s="11" t="inlineStr">
        <is>
          <t>1. Открой страницу входа (адрес стенда + /auth/jwt/sign-in).
2. В поле «Логин» (uz: Login) введи логин супер-админа.
3. В поле «Пароль» (uz: Parol) введи его пароль.
4. Нажми кнопку «Войти» (uz: Kirish).</t>
        </is>
      </c>
      <c r="F2" s="10" t="inlineStr">
        <is>
          <t>Critical</t>
        </is>
      </c>
      <c r="G2" s="10" t="inlineStr">
        <is>
          <t>Позитивный</t>
        </is>
      </c>
      <c r="H2" s="10" t="inlineStr">
        <is>
          <t>UI</t>
        </is>
      </c>
      <c r="I2" s="11" t="inlineStr">
        <is>
          <t>Вход выполнен. Открывается раздел «РОПы» (адрес /dashboard/rop) — таблица компаний РОП. В меню слева видны разделы «РОПы», «Лиды», «Тарифы».</t>
        </is>
      </c>
      <c r="J2" s="11" t="inlineStr"/>
      <c r="K2" s="10" t="inlineStr">
        <is>
          <t>Not Run</t>
        </is>
      </c>
      <c r="L2" s="10" t="inlineStr">
        <is>
          <t>—</t>
        </is>
      </c>
    </row>
    <row r="3" ht="56.8" customHeight="1">
      <c r="A3" s="10" t="inlineStr">
        <is>
          <t>TC-002</t>
        </is>
      </c>
      <c r="B3" s="11" t="inlineStr">
        <is>
          <t>Вход РОП с верными логином и паролем</t>
        </is>
      </c>
      <c r="C3" s="11" t="inlineStr">
        <is>
          <t>Проверяем вход руководителя отдела продаж (РОП) и что система приводит его на его стартовый экран — «Правила».</t>
        </is>
      </c>
      <c r="D3" s="11" t="inlineStr">
        <is>
          <t>Есть учётная запись РОП.
Никто не залогинен.</t>
        </is>
      </c>
      <c r="E3" s="11" t="inlineStr">
        <is>
          <t>1. Открой страницу входа.
2. Введи логин и пароль РОП.
3. Нажми «Войти» (uz: Kirish).</t>
        </is>
      </c>
      <c r="F3" s="10" t="inlineStr">
        <is>
          <t>Critical</t>
        </is>
      </c>
      <c r="G3" s="10" t="inlineStr">
        <is>
          <t>Позитивный</t>
        </is>
      </c>
      <c r="H3" s="10" t="inlineStr">
        <is>
          <t>UI</t>
        </is>
      </c>
      <c r="I3" s="11" t="inlineStr">
        <is>
          <t>Вход выполнен. Открывается раздел «Правила» (адрес /dashboard/dynamic-form). В меню слева: «Правила», «Операторы», «Настройка очереди», «Критерии», «Посещаемость».</t>
        </is>
      </c>
      <c r="J3" s="11" t="inlineStr"/>
      <c r="K3" s="10" t="inlineStr">
        <is>
          <t>Not Run</t>
        </is>
      </c>
      <c r="L3" s="10" t="inlineStr">
        <is>
          <t>—</t>
        </is>
      </c>
    </row>
    <row r="4" ht="83.19999999999999" customHeight="1">
      <c r="A4" s="10" t="inlineStr">
        <is>
          <t>TC-003</t>
        </is>
      </c>
      <c r="B4" s="11" t="inlineStr">
        <is>
          <t>Вход оператора с верными логином и паролем</t>
        </is>
      </c>
      <c r="C4" s="11" t="inlineStr">
        <is>
          <t>Проверяем вход оператора и его стартовый экран. ВНИМАНИЕ: по коду фронтенда оператора после входа ведут на «Звонки» (/dashboard/calls), а не на «Рабочий стол», как написано в старой документации. Код — источник правды.</t>
        </is>
      </c>
      <c r="D4" s="11" t="inlineStr">
        <is>
          <t>Есть учётная запись оператора.
Никто не залогинен.</t>
        </is>
      </c>
      <c r="E4" s="11" t="inlineStr">
        <is>
          <t>1. Открой страницу входа.
2. Введи логин и пароль оператора.
3. Нажми «Войти» (uz: Kirish).</t>
        </is>
      </c>
      <c r="F4" s="10" t="inlineStr">
        <is>
          <t>Critical</t>
        </is>
      </c>
      <c r="G4" s="10" t="inlineStr">
        <is>
          <t>Позитивный</t>
        </is>
      </c>
      <c r="H4" s="10" t="inlineStr">
        <is>
          <t>UI</t>
        </is>
      </c>
      <c r="I4" s="11" t="inlineStr">
        <is>
          <t>Вход выполнен. Открывается раздел «Звонки» (адрес /dashboard/calls) — таблица лидов. В меню слева: «Рабочий стол», «Режим звонков», «Звонки», «Рабочее время».</t>
        </is>
      </c>
      <c r="J4" s="11" t="inlineStr"/>
      <c r="K4" s="10" t="inlineStr">
        <is>
          <t>Not Run</t>
        </is>
      </c>
      <c r="L4" s="10" t="inlineStr">
        <is>
          <t>—</t>
        </is>
      </c>
    </row>
    <row r="5" ht="70" customHeight="1">
      <c r="A5" s="10" t="inlineStr">
        <is>
          <t>TC-004</t>
        </is>
      </c>
      <c r="B5" s="11" t="inlineStr">
        <is>
          <t>Вход с неверным паролем не пускает в систему</t>
        </is>
      </c>
      <c r="C5" s="11" t="inlineStr">
        <is>
          <t>Проверяем, что с неправильным паролем войти нельзя и человеку показывается понятное сообщение об ошибке.</t>
        </is>
      </c>
      <c r="D5" s="11" t="inlineStr">
        <is>
          <t>Есть любая действующая учётная запись.
Никто не залогинен.</t>
        </is>
      </c>
      <c r="E5" s="11" t="inlineStr">
        <is>
          <t>1. Открой страницу входа.
2. Введи существующий логин.
3. Введи заведомо неверный пароль (например, правильный + лишняя буква).
4. Нажми «Войти».</t>
        </is>
      </c>
      <c r="F5" s="10" t="inlineStr">
        <is>
          <t>Critical</t>
        </is>
      </c>
      <c r="G5" s="10" t="inlineStr">
        <is>
          <t>Негативный</t>
        </is>
      </c>
      <c r="H5" s="10" t="inlineStr">
        <is>
          <t>UI</t>
        </is>
      </c>
      <c r="I5" s="11" t="inlineStr">
        <is>
          <t>Вход НЕ выполнен. Над формой появляется красная плашка с сообщением об ошибке. Пользователь остаётся на странице входа. Пароль в поле не раскрывается.</t>
        </is>
      </c>
      <c r="J5" s="11" t="inlineStr"/>
      <c r="K5" s="10" t="inlineStr">
        <is>
          <t>Not Run</t>
        </is>
      </c>
      <c r="L5" s="10" t="inlineStr">
        <is>
          <t>—</t>
        </is>
      </c>
    </row>
    <row r="6" ht="70" customHeight="1">
      <c r="A6" s="10" t="inlineStr">
        <is>
          <t>TC-005</t>
        </is>
      </c>
      <c r="B6" s="11" t="inlineStr">
        <is>
          <t>Вход с несуществующим логином</t>
        </is>
      </c>
      <c r="C6" s="11" t="inlineStr">
        <is>
          <t>Проверяем реакцию на логин, которого нет в системе. Сообщение не должно подсказывать злоумышленнику, что именно неверно — логин или пароль.</t>
        </is>
      </c>
      <c r="D6" s="11" t="inlineStr">
        <is>
          <t>Никто не залогинен.</t>
        </is>
      </c>
      <c r="E6" s="11" t="inlineStr">
        <is>
          <t>1. Открой страницу входа.
2. Введи выдуманный логин, например «net-takogo-usera-123».
3. Введи любой пароль от 6 символов.
4. Нажми «Войти».</t>
        </is>
      </c>
      <c r="F6" s="10" t="inlineStr">
        <is>
          <t>High</t>
        </is>
      </c>
      <c r="G6" s="10" t="inlineStr">
        <is>
          <t>Негативный</t>
        </is>
      </c>
      <c r="H6" s="10" t="inlineStr">
        <is>
          <t>UI</t>
        </is>
      </c>
      <c r="I6" s="11" t="inlineStr">
        <is>
          <t>Вход НЕ выполнен, показано сообщение об ошибке. Формулировка ошибки одинаковая для случаев «нет такого логина» и «неверный пароль» (не выдаёт, какие логины существуют).</t>
        </is>
      </c>
      <c r="J6" s="11" t="inlineStr"/>
      <c r="K6" s="10" t="inlineStr">
        <is>
          <t>Not Run</t>
        </is>
      </c>
      <c r="L6" s="10" t="inlineStr">
        <is>
          <t>—</t>
        </is>
      </c>
    </row>
    <row r="7" ht="56.8" customHeight="1">
      <c r="A7" s="10" t="inlineStr">
        <is>
          <t>TC-006</t>
        </is>
      </c>
      <c r="B7" s="11" t="inlineStr">
        <is>
          <t>Пустые поля — форма подсказывает, что заполнить</t>
        </is>
      </c>
      <c r="C7" s="11" t="inlineStr">
        <is>
          <t>Проверяем подсказки формы при попытке войти, ничего не заполнив. Запрос на сервер при этом уходить не должен.</t>
        </is>
      </c>
      <c r="D7" s="11" t="inlineStr">
        <is>
          <t>Никто не залогинен.</t>
        </is>
      </c>
      <c r="E7" s="11" t="inlineStr">
        <is>
          <t>1. Открой страницу входа.
2. Ничего не вводи в поля.
3. Нажми «Войти».</t>
        </is>
      </c>
      <c r="F7" s="10" t="inlineStr">
        <is>
          <t>Medium</t>
        </is>
      </c>
      <c r="G7" s="10" t="inlineStr">
        <is>
          <t>Негативный</t>
        </is>
      </c>
      <c r="H7" s="10" t="inlineStr">
        <is>
          <t>UI</t>
        </is>
      </c>
      <c r="I7" s="11" t="inlineStr">
        <is>
          <t>Под полями появляются подсказки: «Введите логин!» (uz: Loginni kiriting!) и «Введите пароль!» (uz: Parolni kiriting!). Вход не выполняется.</t>
        </is>
      </c>
      <c r="J7" s="11" t="inlineStr"/>
      <c r="K7" s="10" t="inlineStr">
        <is>
          <t>Not Run</t>
        </is>
      </c>
      <c r="L7" s="10" t="inlineStr">
        <is>
          <t>—</t>
        </is>
      </c>
    </row>
    <row r="8" ht="83.19999999999999" customHeight="1">
      <c r="A8" s="10" t="inlineStr">
        <is>
          <t>TC-007</t>
        </is>
      </c>
      <c r="B8" s="11" t="inlineStr">
        <is>
          <t>Пароль короче 6 символов не отправляется</t>
        </is>
      </c>
      <c r="C8" s="11" t="inlineStr">
        <is>
          <t>Граничная проверка минимальной длины пароля на форме входа: 5 символов — ошибка, 6 символов — форма отправляет запрос (сервер уже сам решает, верный ли пароль).</t>
        </is>
      </c>
      <c r="D8" s="11" t="inlineStr">
        <is>
          <t>Никто не залогинен.</t>
        </is>
      </c>
      <c r="E8" s="11" t="inlineStr">
        <is>
          <t>1. Открой страницу входа.
2. Введи любой логин.
3. Введи пароль из 5 символов (например, «12345»). Нажми «Войти».
4. Теперь введи пароль из 6 символов (например, «123456»). Нажми «Войти».</t>
        </is>
      </c>
      <c r="F8" s="10" t="inlineStr">
        <is>
          <t>Medium</t>
        </is>
      </c>
      <c r="G8" s="10" t="inlineStr">
        <is>
          <t>Граничный</t>
        </is>
      </c>
      <c r="H8" s="10" t="inlineStr">
        <is>
          <t>UI</t>
        </is>
      </c>
      <c r="I8" s="11" t="inlineStr">
        <is>
          <t>Шаг 3: под полем подсказка «Пароль должен содержать не менее 6 символов!», запрос на сервер не уходит. Шаг 4: подсказки нет, форма отправляется (дальше — обычная ошибка «неверный пароль», это нормально).</t>
        </is>
      </c>
      <c r="J8" s="11" t="inlineStr"/>
      <c r="K8" s="10" t="inlineStr">
        <is>
          <t>Not Run</t>
        </is>
      </c>
      <c r="L8" s="10" t="inlineStr">
        <is>
          <t>—</t>
        </is>
      </c>
    </row>
    <row r="9" ht="83.19999999999999" customHeight="1">
      <c r="A9" s="10" t="inlineStr">
        <is>
          <t>TC-008</t>
        </is>
      </c>
      <c r="B9" s="11" t="inlineStr">
        <is>
          <t>Поля входа не предзаполнены логином и паролем</t>
        </is>
      </c>
      <c r="C9" s="11" t="inlineStr">
        <is>
          <t>Проверка безопасности (риск R-5, дефект Р-17). Раньше в форме входа были захардкожены учётные данные супер-админа — любой мог войти в один клик. По коду от 25.07 это исправлено. Подтверждаем на стенде.</t>
        </is>
      </c>
      <c r="D9" s="11" t="inlineStr">
        <is>
          <t>Никто не залогинен. Открой новое приватное окно браузера (Ctrl+Shift+N), чтобы исключить автозаполнение самим браузером.</t>
        </is>
      </c>
      <c r="E9" s="11" t="inlineStr">
        <is>
          <t>1. Открой страницу входа в приватном окне.
2. Посмотри на поля «Логин» и «Пароль», ничего не вводя.</t>
        </is>
      </c>
      <c r="F9" s="10" t="inlineStr">
        <is>
          <t>High</t>
        </is>
      </c>
      <c r="G9" s="10" t="inlineStr">
        <is>
          <t>Негативный</t>
        </is>
      </c>
      <c r="H9" s="10" t="inlineStr">
        <is>
          <t>UI</t>
        </is>
      </c>
      <c r="I9" s="11" t="inlineStr">
        <is>
          <t>Оба поля ПУСТЫЕ. Внутри — только серые подсказки-плейсхолдеры «логин» и «6+ символов». Никаких заранее подставленных логина и пароля нет.</t>
        </is>
      </c>
      <c r="J9" s="11" t="inlineStr"/>
      <c r="K9" s="10" t="inlineStr">
        <is>
          <t>Not Run</t>
        </is>
      </c>
      <c r="L9" s="10" t="inlineStr">
        <is>
          <t>—</t>
        </is>
      </c>
    </row>
    <row r="10" ht="56.8" customHeight="1">
      <c r="A10" s="10" t="inlineStr">
        <is>
          <t>TC-009</t>
        </is>
      </c>
      <c r="B10" s="11" t="inlineStr">
        <is>
          <t>Кнопка-глазок показывает и скрывает пароль</t>
        </is>
      </c>
      <c r="C10" s="11" t="inlineStr">
        <is>
          <t>Удобство: оператор должен иметь возможность проверить, что набрал, прежде чем нажать «Войти».</t>
        </is>
      </c>
      <c r="D10" s="11" t="inlineStr">
        <is>
          <t>Никто не залогинен.</t>
        </is>
      </c>
      <c r="E10" s="11" t="inlineStr">
        <is>
          <t>1. Открой страницу входа.
2. Введи в поле «Пароль» любой текст.
3. Нажми значок глаза в правом краю поля.
4. Нажми значок ещё раз.</t>
        </is>
      </c>
      <c r="F10" s="10" t="inlineStr">
        <is>
          <t>Low</t>
        </is>
      </c>
      <c r="G10" s="10" t="inlineStr">
        <is>
          <t>Позитивный</t>
        </is>
      </c>
      <c r="H10" s="10" t="inlineStr">
        <is>
          <t>UI</t>
        </is>
      </c>
      <c r="I10" s="11" t="inlineStr">
        <is>
          <t>После первого нажатия пароль виден обычным текстом, после второго — снова скрыт точками.</t>
        </is>
      </c>
      <c r="J10" s="11" t="inlineStr"/>
      <c r="K10" s="10" t="inlineStr">
        <is>
          <t>Not Run</t>
        </is>
      </c>
      <c r="L10" s="10" t="inlineStr">
        <is>
          <t>—</t>
        </is>
      </c>
    </row>
    <row r="11" ht="70" customHeight="1">
      <c r="A11" s="10" t="inlineStr">
        <is>
          <t>TC-010</t>
        </is>
      </c>
      <c r="B11" s="11" t="inlineStr">
        <is>
          <t>Выход из системы</t>
        </is>
      </c>
      <c r="C11" s="11" t="inlineStr">
        <is>
          <t>Проверяем, что «Выйти» действительно завершает сессию: вернуться в кабинет кнопкой «Назад» браузера нельзя.</t>
        </is>
      </c>
      <c r="D11" s="11" t="inlineStr">
        <is>
          <t>Выполнен вход под любой ролью.</t>
        </is>
      </c>
      <c r="E11" s="11" t="inlineStr">
        <is>
          <t>1. Нажми на свой аватар/имя в правом верхнем углу.
2. В открывшемся меню нажми «Выйти» (uz: Chiqish).
3. После возврата на страницу входа нажми кнопку «Назад» в браузере.
4. Обнови страницу (F5).</t>
        </is>
      </c>
      <c r="F11" s="10" t="inlineStr">
        <is>
          <t>High</t>
        </is>
      </c>
      <c r="G11" s="10" t="inlineStr">
        <is>
          <t>Позитивный</t>
        </is>
      </c>
      <c r="H11" s="10" t="inlineStr">
        <is>
          <t>UI</t>
        </is>
      </c>
      <c r="I11" s="11" t="inlineStr">
        <is>
          <t>После шага 2 открывается страница входа. Шаги 3–4: в кабинет вернуться нельзя — снова показывается страница входа, данные разделов не отображаются.</t>
        </is>
      </c>
      <c r="J11" s="11" t="inlineStr"/>
      <c r="K11" s="10" t="inlineStr">
        <is>
          <t>Not Run</t>
        </is>
      </c>
      <c r="L11" s="10" t="inlineStr">
        <is>
          <t>—</t>
        </is>
      </c>
    </row>
    <row r="12" ht="96.39999999999999" customHeight="1">
      <c r="A12" s="10" t="inlineStr">
        <is>
          <t>TC-011</t>
        </is>
      </c>
      <c r="B12" s="11" t="inlineStr">
        <is>
          <t>Защита от перебора: много неверных попыток подряд</t>
        </is>
      </c>
      <c r="C12" s="11" t="inlineStr">
        <is>
          <t>На вход стоит ограничение частоты запросов (по умолчанию 5 попыток в минуту с одного адреса). Проверяем, что после лишних попыток система временно блокирует вход, а через минуту снова пускает.</t>
        </is>
      </c>
      <c r="D12" s="11" t="inlineStr">
        <is>
          <t>Есть действующая учётная запись. Никто не залогинен.</t>
        </is>
      </c>
      <c r="E12" s="11" t="inlineStr">
        <is>
          <t>1. Открой страницу входа.
2. Введи существующий логин и неверный пароль. Нажми «Войти».
3. Повтори то же самое ещё 5 раз подряд, не делая пауз (всего 6 попыток).
4. Подожди чуть больше минуты и попробуй войти с ВЕРНЫМ паролем.</t>
        </is>
      </c>
      <c r="F12" s="10" t="inlineStr">
        <is>
          <t>Medium</t>
        </is>
      </c>
      <c r="G12" s="10" t="inlineStr">
        <is>
          <t>Негативный</t>
        </is>
      </c>
      <c r="H12" s="10" t="inlineStr">
        <is>
          <t>UI</t>
        </is>
      </c>
      <c r="I12" s="11" t="inlineStr">
        <is>
          <t>На 6-й попытке появляется ошибка об ограничении (слишком много запросов) — даже если бы пароль был верным. После паузы в минуту вход с верным паролем работает.</t>
        </is>
      </c>
      <c r="J12" s="11" t="inlineStr"/>
      <c r="K12" s="10" t="inlineStr">
        <is>
          <t>Not Run</t>
        </is>
      </c>
      <c r="L12" s="10" t="inlineStr">
        <is>
          <t>—</t>
        </is>
      </c>
    </row>
    <row r="13" ht="136" customHeight="1">
      <c r="A13" s="10" t="inlineStr">
        <is>
          <t>TC-012</t>
        </is>
      </c>
      <c r="B13" s="11" t="inlineStr">
        <is>
          <t>Деактивированный пользователь не может войти</t>
        </is>
      </c>
      <c r="C13" s="11" t="inlineStr">
        <is>
          <t>РОП отключает оператора (уволился) — вход для него должен закрыться, но его данные (звонки, история) должны остаться в системе.</t>
        </is>
      </c>
      <c r="D13" s="11" t="inlineStr">
        <is>
          <t>Вход под РОП. У РОП есть оператор, под которым можно безопасно экспериментировать (тестовый).</t>
        </is>
      </c>
      <c r="E13" s="11" t="inlineStr">
        <is>
          <t>1. Открой раздел «Операторы».
2. Найди строку тестового оператора, открой меню действий (⋮).
3. Нажми «Деактивировать» (uz: Deaktivatsiya).
4. Убедись, что появилось уведомление «Деактивировано» и статус в таблице сменился на «Неактивен».
5. Выйди из аккаунта РОП. Попробуй войти под этим оператором с его верным паролем.
6. Вернись под РОП и проверь, что история звонков оператора по-прежнему видна.</t>
        </is>
      </c>
      <c r="F13" s="10" t="inlineStr">
        <is>
          <t>Critical</t>
        </is>
      </c>
      <c r="G13" s="10" t="inlineStr">
        <is>
          <t>Негативный</t>
        </is>
      </c>
      <c r="H13" s="10" t="inlineStr">
        <is>
          <t>UI</t>
        </is>
      </c>
      <c r="I13" s="11" t="inlineStr">
        <is>
          <t>Шаг 5: вход НЕ выполняется, показано сообщение об ошибке. Шаг 6: данные оператора не пропали. После теста верни оператора кнопкой «Активировать».</t>
        </is>
      </c>
      <c r="J13" s="11" t="inlineStr"/>
      <c r="K13" s="10" t="inlineStr">
        <is>
          <t>Not Run</t>
        </is>
      </c>
      <c r="L13" s="10" t="inlineStr">
        <is>
          <t>—</t>
        </is>
      </c>
    </row>
    <row r="14" ht="96.39999999999999" customHeight="1">
      <c r="A14" s="10" t="inlineStr">
        <is>
          <t>TC-013</t>
        </is>
      </c>
      <c r="B14" s="11" t="inlineStr">
        <is>
          <t>Деактивация обрывает уже открытую сессию</t>
        </is>
      </c>
      <c r="C14" s="11" t="inlineStr">
        <is>
          <t>Связано с багом BUG-006: если оператора деактивировали, пока он работал, его открытая вкладка не должна продолжать работать бесконечно. Продление сессии деактивированному запрещено, поэтому доступ должен прекратиться не позже, чем истечёт краткосрочный токен (~15 минут).</t>
        </is>
      </c>
      <c r="D14" s="11" t="inlineStr">
        <is>
          <t>Два браузера (или обычное + приватное окно): в одном залогинен тестовый оператор, в другом — его РОП.</t>
        </is>
      </c>
      <c r="E14" s="11" t="inlineStr">
        <is>
          <t>1. В браузере №1 оператор работает (открыт раздел «Звонки»).
2. В браузере №2 РОП деактивирует этого оператора («Операторы» → меню действий → «Деактивировать»).
3. В браузере №1 продолжай пользоваться разделами и наблюдай до 20 минут.</t>
        </is>
      </c>
      <c r="F14" s="10" t="inlineStr">
        <is>
          <t>High</t>
        </is>
      </c>
      <c r="G14" s="10" t="inlineStr">
        <is>
          <t>Негативный</t>
        </is>
      </c>
      <c r="H14" s="10" t="inlineStr">
        <is>
          <t>UI</t>
        </is>
      </c>
      <c r="I14" s="11" t="inlineStr">
        <is>
          <t>Не позже чем через ~15–20 минут оператора выбрасывает на страницу входа (продление сессии отклонено). Если сессия живёт дольше и работает как ни в чём не бывало — это воспроизведение BUG-006, отметь в фактическом результате.</t>
        </is>
      </c>
      <c r="J14" s="11" t="inlineStr"/>
      <c r="K14" s="10" t="inlineStr">
        <is>
          <t>Not Run</t>
        </is>
      </c>
      <c r="L14" s="10" t="inlineStr">
        <is>
          <t>—</t>
        </is>
      </c>
    </row>
    <row r="15" ht="162.4" customHeight="1">
      <c r="A15" s="10" t="inlineStr">
        <is>
          <t>TC-014</t>
        </is>
      </c>
      <c r="B15" s="11" t="inlineStr">
        <is>
          <t>Смена своего пароля через меню аккаунта</t>
        </is>
      </c>
      <c r="C15" s="11" t="inlineStr">
        <is>
          <t>Оператор и РОП могут сменить свой пароль сами. Проверяем полный круг: смена → выход → старый пароль не работает → новый работает. Внимание: этот диалог в интерфейсе пока только на узбекском (не переведён).</t>
        </is>
      </c>
      <c r="D15" s="11" t="inlineStr">
        <is>
          <t>Вход под тестовым оператором (или РОП). Текущий пароль известен.</t>
        </is>
      </c>
      <c r="E15" s="11" t="inlineStr">
        <is>
          <t>1. Нажми на аватар в правом верхнем углу и выбери «Сменить пароль» (uz: Parolni o'zgartirish).
2. В поле «Eski parol» (старый пароль) введи текущий пароль.
3. В поле «Yangi parol» (новый пароль) введи новый пароль от 8 символов.
4. В поле «Yangi parolni takrorlang» (повтори новый пароль) введи его же.
5. Нажми «Saqlash» (Сохранить).
6. Выйди из системы и попробуй войти со СТАРЫМ паролем.
7. Затем войди с НОВЫМ паролем.</t>
        </is>
      </c>
      <c r="F15" s="10" t="inlineStr">
        <is>
          <t>High</t>
        </is>
      </c>
      <c r="G15" s="10" t="inlineStr">
        <is>
          <t>Позитивный</t>
        </is>
      </c>
      <c r="H15" s="10" t="inlineStr">
        <is>
          <t>UI</t>
        </is>
      </c>
      <c r="I15" s="11" t="inlineStr">
        <is>
          <t>Шаг 5: появляется уведомление «Parol yangilandi» (пароль обновлён), диалог закрывается. Шаг 6: вход со старым паролем НЕ работает. Шаг 7: вход с новым паролем работает. После теста верни исходный пароль.</t>
        </is>
      </c>
      <c r="J15" s="11" t="inlineStr"/>
      <c r="K15" s="10" t="inlineStr">
        <is>
          <t>Not Run</t>
        </is>
      </c>
      <c r="L15" s="10" t="inlineStr">
        <is>
          <t>—</t>
        </is>
      </c>
    </row>
    <row r="16" ht="83.19999999999999" customHeight="1">
      <c r="A16" s="10" t="inlineStr">
        <is>
          <t>TC-015</t>
        </is>
      </c>
      <c r="B16" s="11" t="inlineStr">
        <is>
          <t>Смена пароля с неверным старым паролем</t>
        </is>
      </c>
      <c r="C16" s="11" t="inlineStr">
        <is>
          <t>Старый пароль проверяется на сервере — без него сменить пароль нельзя (защита, если кто-то сел за чужой открытый компьютер).</t>
        </is>
      </c>
      <c r="D16" s="11" t="inlineStr">
        <is>
          <t>Вход под тестовым оператором.</t>
        </is>
      </c>
      <c r="E16" s="11" t="inlineStr">
        <is>
          <t>1. Открой диалог «Сменить пароль».
2. В поле старого пароля введи ЗАВЕДОМО НЕВЕРНЫЙ пароль (8+ символов).
3. Заполни новый пароль и его повтор одинаковыми значениями (8+ символов).
4. Нажми «Saqlash».</t>
        </is>
      </c>
      <c r="F16" s="10" t="inlineStr">
        <is>
          <t>High</t>
        </is>
      </c>
      <c r="G16" s="10" t="inlineStr">
        <is>
          <t>Негативный</t>
        </is>
      </c>
      <c r="H16" s="10" t="inlineStr">
        <is>
          <t>UI</t>
        </is>
      </c>
      <c r="I16" s="11" t="inlineStr">
        <is>
          <t>Пароль НЕ меняется, показывается сообщение об ошибке. Текущий пароль продолжает действовать (проверь повторным входом).</t>
        </is>
      </c>
      <c r="J16" s="11" t="inlineStr"/>
      <c r="K16" s="10" t="inlineStr">
        <is>
          <t>Not Run</t>
        </is>
      </c>
      <c r="L16" s="10" t="inlineStr">
        <is>
          <t>—</t>
        </is>
      </c>
    </row>
    <row r="17" ht="56.8" customHeight="1">
      <c r="A17" s="10" t="inlineStr">
        <is>
          <t>TC-016</t>
        </is>
      </c>
      <c r="B17" s="11" t="inlineStr">
        <is>
          <t>Новый пароль и повтор не совпадают</t>
        </is>
      </c>
      <c r="C17" s="11" t="inlineStr">
        <is>
          <t>Форма не должна давать сохранить пароль с опечаткой в повторе.</t>
        </is>
      </c>
      <c r="D17" s="11" t="inlineStr">
        <is>
          <t>Вход под тестовым оператором. Открыт диалог «Сменить пароль».</t>
        </is>
      </c>
      <c r="E17" s="11" t="inlineStr">
        <is>
          <t>1. Введи верный старый пароль.
2. В поле нового пароля введи «password123».
3. В поле повтора введи «password124» (отличается последним символом).</t>
        </is>
      </c>
      <c r="F17" s="10" t="inlineStr">
        <is>
          <t>Medium</t>
        </is>
      </c>
      <c r="G17" s="10" t="inlineStr">
        <is>
          <t>Негативный</t>
        </is>
      </c>
      <c r="H17" s="10" t="inlineStr">
        <is>
          <t>UI</t>
        </is>
      </c>
      <c r="I17" s="11" t="inlineStr">
        <is>
          <t>Под полем повтора появляется подсказка «Parollar mos kelmadi» (пароли не совпадают), кнопка «Saqlash» неактивна (серая) — сохранить нельзя.</t>
        </is>
      </c>
      <c r="J17" s="11" t="inlineStr"/>
      <c r="K17" s="10" t="inlineStr">
        <is>
          <t>Not Run</t>
        </is>
      </c>
      <c r="L17" s="10" t="inlineStr">
        <is>
          <t>—</t>
        </is>
      </c>
    </row>
    <row r="18" ht="83.19999999999999" customHeight="1">
      <c r="A18" s="10" t="inlineStr">
        <is>
          <t>TC-017</t>
        </is>
      </c>
      <c r="B18" s="11" t="inlineStr">
        <is>
          <t>Новый пароль короче 8 символов</t>
        </is>
      </c>
      <c r="C18" s="11" t="inlineStr">
        <is>
          <t>Граница минимальной длины нового пароля — 8 символов: 7 — ошибка, 8 — проходит. Заметь: на входе минимум 6, а здесь 8 — это разные проверки.</t>
        </is>
      </c>
      <c r="D18" s="11" t="inlineStr">
        <is>
          <t>Вход под тестовым оператором. Открыт диалог «Сменить пароль», старый пароль введён верно.</t>
        </is>
      </c>
      <c r="E18" s="11" t="inlineStr">
        <is>
          <t>1. Введи новый пароль из 7 символов (например, «1234567») и такой же повтор.
2. Посмотри на подсказки и кнопку «Saqlash».
3. Исправь новый пароль и повтор на 8 символов (например, «12345678»).
4. Нажми «Saqlash».</t>
        </is>
      </c>
      <c r="F18" s="10" t="inlineStr">
        <is>
          <t>Medium</t>
        </is>
      </c>
      <c r="G18" s="10" t="inlineStr">
        <is>
          <t>Граничный</t>
        </is>
      </c>
      <c r="H18" s="10" t="inlineStr">
        <is>
          <t>UI</t>
        </is>
      </c>
      <c r="I18" s="11" t="inlineStr">
        <is>
          <t>Шаг 2: подсказка «Yangi parol kamida 8 ta belgi bo'lsin» (минимум 8 символов), сохранить нельзя. Шаг 4: пароль сохраняется, уведомление «Parol yangilandi». После теста верни исходный пароль.</t>
        </is>
      </c>
      <c r="J18" s="11" t="inlineStr"/>
      <c r="K18" s="10" t="inlineStr">
        <is>
          <t>Not Run</t>
        </is>
      </c>
      <c r="L18" s="10" t="inlineStr">
        <is>
          <t>—</t>
        </is>
      </c>
    </row>
    <row r="19" ht="96.39999999999999" customHeight="1">
      <c r="A19" s="10" t="inlineStr">
        <is>
          <t>TC-018</t>
        </is>
      </c>
      <c r="B19" s="11" t="inlineStr">
        <is>
          <t>РОП сбрасывает пароль оператору</t>
        </is>
      </c>
      <c r="C19" s="11" t="inlineStr">
        <is>
          <t>Оператор забыл пароль. Восстановления «по ссылке на почту» в системе нет — пароль задаёт руководитель. Проверяем диалог «Сброс пароля».</t>
        </is>
      </c>
      <c r="D19" s="11" t="inlineStr">
        <is>
          <t>Вход под РОП. Есть тестовый оператор.</t>
        </is>
      </c>
      <c r="E19" s="11" t="inlineStr">
        <is>
          <t>1. Открой раздел «Операторы».
2. В строке тестового оператора открой меню действий (⋮) и нажми «Сбросить пароль».
3. В диалоге «Сброс пароля» введи «Новый пароль» (8+ символов) и «Повторите новый пароль».
4. Сохрани.
5. Выйди и войди под оператором с новым паролем.</t>
        </is>
      </c>
      <c r="F19" s="10" t="inlineStr">
        <is>
          <t>High</t>
        </is>
      </c>
      <c r="G19" s="10" t="inlineStr">
        <is>
          <t>Позитивный</t>
        </is>
      </c>
      <c r="H19" s="10" t="inlineStr">
        <is>
          <t>UI</t>
        </is>
      </c>
      <c r="I19" s="11" t="inlineStr">
        <is>
          <t>Шаг 4: уведомление «Пароль обновлён». Шаг 5: вход с новым паролем работает, со старым — нет.</t>
        </is>
      </c>
      <c r="J19" s="11" t="inlineStr"/>
      <c r="K19" s="10" t="inlineStr">
        <is>
          <t>Not Run</t>
        </is>
      </c>
      <c r="L19" s="10" t="inlineStr">
        <is>
          <t>—</t>
        </is>
      </c>
    </row>
    <row r="20" ht="70" customHeight="1">
      <c r="A20" s="10" t="inlineStr">
        <is>
          <t>TC-019</t>
        </is>
      </c>
      <c r="B20" s="11" t="inlineStr">
        <is>
          <t>Долгая работа без выхода: сессия продлевается незаметно</t>
        </is>
      </c>
      <c r="C20" s="11" t="inlineStr">
        <is>
          <t>Краткосрочный «пропуск» (токен) живёт 15 минут. Система должна продлевать его сама, не выбрасывая человека посреди работы.</t>
        </is>
      </c>
      <c r="D20" s="11" t="inlineStr">
        <is>
          <t>Вход под любой ролью.</t>
        </is>
      </c>
      <c r="E20" s="11" t="inlineStr">
        <is>
          <t>1. Открой любой раздел с данными (например, «Операторы»).
2. Оставь вкладку открытой на 20 минут, ничего не нажимая.
3. Вернись и перейди в другой раздел меню.</t>
        </is>
      </c>
      <c r="F20" s="10" t="inlineStr">
        <is>
          <t>Medium</t>
        </is>
      </c>
      <c r="G20" s="10" t="inlineStr">
        <is>
          <t>Позитивный</t>
        </is>
      </c>
      <c r="H20" s="10" t="inlineStr">
        <is>
          <t>UI</t>
        </is>
      </c>
      <c r="I20" s="11" t="inlineStr">
        <is>
          <t>Раздел открывается, данные загружаются. Повторный ввод логина и пароля НЕ требуется — продление произошло незаметно.</t>
        </is>
      </c>
      <c r="J20" s="11" t="inlineStr"/>
      <c r="K20" s="10" t="inlineStr">
        <is>
          <t>Not Run</t>
        </is>
      </c>
      <c r="L20" s="10" t="inlineStr">
        <is>
          <t>—</t>
        </is>
      </c>
    </row>
    <row r="21" ht="56.8" customHeight="1">
      <c r="A21" s="10" t="inlineStr">
        <is>
          <t>TC-020</t>
        </is>
      </c>
      <c r="B21" s="11" t="inlineStr">
        <is>
          <t>Двойное нажатие «Войти» не ломает вход</t>
        </is>
      </c>
      <c r="C21" s="11" t="inlineStr">
        <is>
          <t>Нетерпеливый пользователь может кликнуть кнопку дважды. Это не должно приводить к ошибке или двойному входу.</t>
        </is>
      </c>
      <c r="D21" s="11" t="inlineStr">
        <is>
          <t>Есть действующая учётная запись. Никто не залогинен.</t>
        </is>
      </c>
      <c r="E21" s="11" t="inlineStr">
        <is>
          <t>1. Открой страницу входа, введи верные логин и пароль.
2. Быстро нажми кнопку «Войти» два раза подряд.</t>
        </is>
      </c>
      <c r="F21" s="10" t="inlineStr">
        <is>
          <t>Low</t>
        </is>
      </c>
      <c r="G21" s="10" t="inlineStr">
        <is>
          <t>Негативный</t>
        </is>
      </c>
      <c r="H21" s="10" t="inlineStr">
        <is>
          <t>UI</t>
        </is>
      </c>
      <c r="I21" s="11" t="inlineStr">
        <is>
          <t>Выполняется один обычный вход. Во время обработки кнопка блокируется и показывает «Вход...» (uz: Kirilmoqda...). Ошибок на экране нет.</t>
        </is>
      </c>
      <c r="J21" s="11" t="inlineStr"/>
      <c r="K21" s="10" t="inlineStr">
        <is>
          <t>Not Run</t>
        </is>
      </c>
      <c r="L21" s="10" t="inlineStr">
        <is>
          <t>—</t>
        </is>
      </c>
    </row>
  </sheetData>
  <autoFilter ref="A1:L21"/>
  <conditionalFormatting sqref="K2:K51">
    <cfRule type="cellIs" priority="1" operator="equal" dxfId="0">
      <formula>"Passed"</formula>
    </cfRule>
    <cfRule type="cellIs" priority="2" operator="equal" dxfId="1">
      <formula>"Failed"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dataValidations count="3">
    <dataValidation sqref="F2:F51" showDropDown="0" showInputMessage="0" showErrorMessage="0" allowBlank="1" errorTitle="Недопустимое значение" error="Выбери значение из списка: Critical, High, Medium, Low" type="list">
      <formula1>"Critical,High,Medium,Low"</formula1>
    </dataValidation>
    <dataValidation sqref="K2:K51" showDropDown="0" showInputMessage="0" showErrorMessage="0" allowBlank="1" errorTitle="Недопустимое значение" error="Выбери значение из списка: Not Run, Passed, Failed, Blocked" type="list">
      <formula1>"Not Run,Passed,Failed,Blocked"</formula1>
    </dataValidation>
    <dataValidation sqref="H2:H51" showDropDown="0" showInputMessage="0" showErrorMessage="0" allowBlank="1" errorTitle="Недопустимое значение" error="Выбери значение из списка: UI, API, UI+API" type="list">
      <formula1>"UI,API,UI+API"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42" customWidth="1" min="3" max="3"/>
    <col width="32" customWidth="1" min="4" max="4"/>
    <col width="58" customWidth="1" min="5" max="5"/>
    <col width="11" customWidth="1" min="6" max="6"/>
    <col width="13" customWidth="1" min="7" max="7"/>
    <col width="12" customWidth="1" min="8" max="8"/>
    <col width="46" customWidth="1" min="9" max="9"/>
    <col width="26" customWidth="1" min="10" max="10"/>
    <col width="11" customWidth="1" min="11" max="11"/>
    <col width="14" customWidth="1" min="12" max="12"/>
  </cols>
  <sheetData>
    <row r="1" ht="28" customHeight="1">
      <c r="A1" s="9" t="inlineStr">
        <is>
          <t>ID</t>
        </is>
      </c>
      <c r="B1" s="9" t="inlineStr">
        <is>
          <t>Краткое описание</t>
        </is>
      </c>
      <c r="C1" s="9" t="inlineStr">
        <is>
          <t>Полное описание</t>
        </is>
      </c>
      <c r="D1" s="9" t="inlineStr">
        <is>
          <t>Предусловия</t>
        </is>
      </c>
      <c r="E1" s="9" t="inlineStr">
        <is>
          <t>Шаги</t>
        </is>
      </c>
      <c r="F1" s="9" t="inlineStr">
        <is>
          <t>Приоритет</t>
        </is>
      </c>
      <c r="G1" s="9" t="inlineStr">
        <is>
          <t>Тип</t>
        </is>
      </c>
      <c r="H1" s="9" t="inlineStr">
        <is>
          <t>Способ проверки</t>
        </is>
      </c>
      <c r="I1" s="9" t="inlineStr">
        <is>
          <t>Ожидаемый результат</t>
        </is>
      </c>
      <c r="J1" s="9" t="inlineStr">
        <is>
          <t>Фактический результат</t>
        </is>
      </c>
      <c r="K1" s="9" t="inlineStr">
        <is>
          <t>Статус</t>
        </is>
      </c>
      <c r="L1" s="9" t="inlineStr">
        <is>
          <t>Автоматизация</t>
        </is>
      </c>
    </row>
    <row r="2" ht="70" customHeight="1">
      <c r="A2" s="10" t="inlineStr">
        <is>
          <t>TC-021</t>
        </is>
      </c>
      <c r="B2" s="11" t="inlineStr">
        <is>
          <t>Меню супер-админа содержит только его разделы</t>
        </is>
      </c>
      <c r="C2" s="11" t="inlineStr">
        <is>
          <t>У каждой роли своё меню. Супер-админ управляет клиентами и тарифами, но НЕ должен видеть рабочие разделы РОП и оператора. Иерархии ролей в системе нет — доступ задан явными списками (риск R-2).</t>
        </is>
      </c>
      <c r="D2" s="11" t="inlineStr">
        <is>
          <t>Вход под супер-админом.</t>
        </is>
      </c>
      <c r="E2" s="11" t="inlineStr">
        <is>
          <t>1. Посмотри на меню слева.
2. Выпиши все пункты меню в фактический результат.</t>
        </is>
      </c>
      <c r="F2" s="10" t="inlineStr">
        <is>
          <t>High</t>
        </is>
      </c>
      <c r="G2" s="10" t="inlineStr">
        <is>
          <t>Позитивный</t>
        </is>
      </c>
      <c r="H2" s="10" t="inlineStr">
        <is>
          <t>UI</t>
        </is>
      </c>
      <c r="I2" s="11" t="inlineStr">
        <is>
          <t>В меню есть: «РОПы», «Лиды», «Тарифы». В меню НЕТ: «Правила», «Настройка очереди», «Критерии», «Посещаемость», «Режим звонков», «Рабочее время», «Рабочий стол».</t>
        </is>
      </c>
      <c r="J2" s="11" t="inlineStr"/>
      <c r="K2" s="10" t="inlineStr">
        <is>
          <t>Not Run</t>
        </is>
      </c>
      <c r="L2" s="10" t="inlineStr">
        <is>
          <t>—</t>
        </is>
      </c>
    </row>
    <row r="3" ht="56.8" customHeight="1">
      <c r="A3" s="10" t="inlineStr">
        <is>
          <t>TC-022</t>
        </is>
      </c>
      <c r="B3" s="11" t="inlineStr">
        <is>
          <t>Меню РОП содержит только его разделы</t>
        </is>
      </c>
      <c r="C3" s="11" t="inlineStr">
        <is>
          <t>РОП настраивает правила и управляет операторами, но не видит разделы супер-админа (клиенты, тарифы) и рабочие экраны оператора.</t>
        </is>
      </c>
      <c r="D3" s="11" t="inlineStr">
        <is>
          <t>Вход под РОП.</t>
        </is>
      </c>
      <c r="E3" s="11" t="inlineStr">
        <is>
          <t>1. Посмотри на меню слева.
2. Выпиши все пункты меню в фактический результат.</t>
        </is>
      </c>
      <c r="F3" s="10" t="inlineStr">
        <is>
          <t>High</t>
        </is>
      </c>
      <c r="G3" s="10" t="inlineStr">
        <is>
          <t>Позитивный</t>
        </is>
      </c>
      <c r="H3" s="10" t="inlineStr">
        <is>
          <t>UI</t>
        </is>
      </c>
      <c r="I3" s="11" t="inlineStr">
        <is>
          <t>В меню есть: «Правила», «Операторы», «Настройка очереди», «Критерии», «Посещаемость». В меню НЕТ: «РОПы», «Лиды», «Тарифы», «Режим звонков», «Рабочий стол», «Рабочее время».</t>
        </is>
      </c>
      <c r="J3" s="11" t="inlineStr"/>
      <c r="K3" s="10" t="inlineStr">
        <is>
          <t>Not Run</t>
        </is>
      </c>
      <c r="L3" s="10" t="inlineStr">
        <is>
          <t>—</t>
        </is>
      </c>
    </row>
    <row r="4" ht="70" customHeight="1">
      <c r="A4" s="10" t="inlineStr">
        <is>
          <t>TC-023</t>
        </is>
      </c>
      <c r="B4" s="11" t="inlineStr">
        <is>
          <t>Меню оператора содержит только его разделы</t>
        </is>
      </c>
      <c r="C4" s="11" t="inlineStr">
        <is>
          <t>Оператор звонит и подтверждает результаты. Управленческих разделов у него быть не должно.</t>
        </is>
      </c>
      <c r="D4" s="11" t="inlineStr">
        <is>
          <t>Вход под оператором.</t>
        </is>
      </c>
      <c r="E4" s="11" t="inlineStr">
        <is>
          <t>1. Посмотри на меню слева.
2. Выпиши все пункты меню в фактический результат.</t>
        </is>
      </c>
      <c r="F4" s="10" t="inlineStr">
        <is>
          <t>High</t>
        </is>
      </c>
      <c r="G4" s="10" t="inlineStr">
        <is>
          <t>Позитивный</t>
        </is>
      </c>
      <c r="H4" s="10" t="inlineStr">
        <is>
          <t>UI</t>
        </is>
      </c>
      <c r="I4" s="11" t="inlineStr">
        <is>
          <t>В меню есть: «Рабочий стол», «Режим звонков», «Звонки», «Рабочее время». В меню НЕТ: «РОПы», «Лиды», «Тарифы», «Правила», «Операторы», «Настройка очереди», «Критерии», «Посещаемость».</t>
        </is>
      </c>
      <c r="J4" s="11" t="inlineStr"/>
      <c r="K4" s="10" t="inlineStr">
        <is>
          <t>Not Run</t>
        </is>
      </c>
      <c r="L4" s="10" t="inlineStr">
        <is>
          <t>—</t>
        </is>
      </c>
    </row>
    <row r="5" ht="56.8" customHeight="1">
      <c r="A5" s="10" t="inlineStr">
        <is>
          <t>TC-024</t>
        </is>
      </c>
      <c r="B5" s="11" t="inlineStr">
        <is>
          <t>Оператор не открывает список РОПов по прямой ссылке</t>
        </is>
      </c>
      <c r="C5" s="11" t="inlineStr">
        <is>
          <t>Спрятать пункт меню — мало: раздел можно открыть, введя адрес руками. Проверяем защиту самого экрана (риск R-2).</t>
        </is>
      </c>
      <c r="D5" s="11" t="inlineStr">
        <is>
          <t>Вход под оператором.</t>
        </is>
      </c>
      <c r="E5" s="11" t="inlineStr">
        <is>
          <t>1. В адресной строке браузера введи адрес стенда + /dashboard/rop и нажми Enter.</t>
        </is>
      </c>
      <c r="F5" s="10" t="inlineStr">
        <is>
          <t>Critical</t>
        </is>
      </c>
      <c r="G5" s="10" t="inlineStr">
        <is>
          <t>Негативный</t>
        </is>
      </c>
      <c r="H5" s="10" t="inlineStr">
        <is>
          <t>UI</t>
        </is>
      </c>
      <c r="I5" s="11" t="inlineStr">
        <is>
          <t>Список РОПов НЕ показывается. Появляется заглушка «нет доступа» (или редирект на разрешённый раздел). Никакие данные таблицы не видны даже на долю секунды.</t>
        </is>
      </c>
      <c r="J5" s="11" t="inlineStr"/>
      <c r="K5" s="10" t="inlineStr">
        <is>
          <t>Not Run</t>
        </is>
      </c>
      <c r="L5" s="10" t="inlineStr">
        <is>
          <t>—</t>
        </is>
      </c>
    </row>
    <row r="6" ht="56.8" customHeight="1">
      <c r="A6" s="10" t="inlineStr">
        <is>
          <t>TC-025</t>
        </is>
      </c>
      <c r="B6" s="11" t="inlineStr">
        <is>
          <t>Оператор не открывает «Тарифы» и «Лиды» по прямой ссылке</t>
        </is>
      </c>
      <c r="C6" s="11" t="inlineStr">
        <is>
          <t>Продолжение проверки прямых ссылок для оператора: экраны супер-админа «Тарифы» (цены) и «Лиды» (заявки с сайта) должны быть закрыты.</t>
        </is>
      </c>
      <c r="D6" s="11" t="inlineStr">
        <is>
          <t>Вход под оператором.</t>
        </is>
      </c>
      <c r="E6" s="11" t="inlineStr">
        <is>
          <t>1. Введи в адресной строке адрес стенда + /dashboard/plans. Посмотри результат.
2. Введи адрес стенда + /dashboard/leads. Посмотри результат.</t>
        </is>
      </c>
      <c r="F6" s="10" t="inlineStr">
        <is>
          <t>Critical</t>
        </is>
      </c>
      <c r="G6" s="10" t="inlineStr">
        <is>
          <t>Негативный</t>
        </is>
      </c>
      <c r="H6" s="10" t="inlineStr">
        <is>
          <t>UI</t>
        </is>
      </c>
      <c r="I6" s="11" t="inlineStr">
        <is>
          <t>Оба раздела НЕ открываются — заглушка «нет доступа», данных не видно.</t>
        </is>
      </c>
      <c r="J6" s="11" t="inlineStr"/>
      <c r="K6" s="10" t="inlineStr">
        <is>
          <t>Not Run</t>
        </is>
      </c>
      <c r="L6" s="10" t="inlineStr">
        <is>
          <t>—</t>
        </is>
      </c>
    </row>
    <row r="7" ht="56.8" customHeight="1">
      <c r="A7" s="10" t="inlineStr">
        <is>
          <t>TC-026</t>
        </is>
      </c>
      <c r="B7" s="11" t="inlineStr">
        <is>
          <t>РОП не открывает разделы супер-админа по прямой ссылке</t>
        </is>
      </c>
      <c r="C7" s="11" t="inlineStr">
        <is>
          <t>РОП — это клиент компании. Список всех клиентов, заявки с сайта и управление тарифами — коммерческая информация владельца платформы.</t>
        </is>
      </c>
      <c r="D7" s="11" t="inlineStr">
        <is>
          <t>Вход под РОП.</t>
        </is>
      </c>
      <c r="E7" s="11" t="inlineStr">
        <is>
          <t>1. Введи в адресной строке адрес стенда + /dashboard/rop.
2. Затем /dashboard/leads.
3. Затем /dashboard/plans.</t>
        </is>
      </c>
      <c r="F7" s="10" t="inlineStr">
        <is>
          <t>Critical</t>
        </is>
      </c>
      <c r="G7" s="10" t="inlineStr">
        <is>
          <t>Негативный</t>
        </is>
      </c>
      <c r="H7" s="10" t="inlineStr">
        <is>
          <t>UI</t>
        </is>
      </c>
      <c r="I7" s="11" t="inlineStr">
        <is>
          <t>Ни один из трёх разделов не открывается — везде заглушка «нет доступа», данные не показываются.</t>
        </is>
      </c>
      <c r="J7" s="11" t="inlineStr"/>
      <c r="K7" s="10" t="inlineStr">
        <is>
          <t>Not Run</t>
        </is>
      </c>
      <c r="L7" s="10" t="inlineStr">
        <is>
          <t>—</t>
        </is>
      </c>
    </row>
    <row r="8" ht="70" customHeight="1">
      <c r="A8" s="10" t="inlineStr">
        <is>
          <t>TC-027</t>
        </is>
      </c>
      <c r="B8" s="11" t="inlineStr">
        <is>
          <t>РОП не открывает рабочие экраны оператора</t>
        </is>
      </c>
      <c r="C8" s="11" t="inlineStr">
        <is>
          <t>«Режим звонков» и «Рабочее время» — личные рабочие экраны оператора. РОП управляет, но не звонит; его вход в режим обзвона мог бы захватить лида и сломать очередь.</t>
        </is>
      </c>
      <c r="D8" s="11" t="inlineStr">
        <is>
          <t>Вход под РОП.</t>
        </is>
      </c>
      <c r="E8" s="11" t="inlineStr">
        <is>
          <t>1. Введи в адресной строке адрес стенда + /dashboard/calling.
2. Затем /dashboard/work.
3. Затем /dashboard/home.</t>
        </is>
      </c>
      <c r="F8" s="10" t="inlineStr">
        <is>
          <t>High</t>
        </is>
      </c>
      <c r="G8" s="10" t="inlineStr">
        <is>
          <t>Негативный</t>
        </is>
      </c>
      <c r="H8" s="10" t="inlineStr">
        <is>
          <t>UI</t>
        </is>
      </c>
      <c r="I8" s="11" t="inlineStr">
        <is>
          <t>Ни один экран не открывается — заглушка «нет доступа». Лид из очереди НЕ захвачен (в /dashboard/calling даже счётчик очереди не должен отработать).</t>
        </is>
      </c>
      <c r="J8" s="11" t="inlineStr"/>
      <c r="K8" s="10" t="inlineStr">
        <is>
          <t>Not Run</t>
        </is>
      </c>
      <c r="L8" s="10" t="inlineStr">
        <is>
          <t>—</t>
        </is>
      </c>
    </row>
    <row r="9" ht="83.19999999999999" customHeight="1">
      <c r="A9" s="10" t="inlineStr">
        <is>
          <t>TC-028</t>
        </is>
      </c>
      <c r="B9" s="11" t="inlineStr">
        <is>
          <t>Супер-админ не открывает экраны РОП</t>
        </is>
      </c>
      <c r="C9" s="11" t="inlineStr">
        <is>
          <t>Важная особенность системы: супер-админ НЕ «выше всех» — у него нет доступа к настройкам РОП. Проверяем, что список доступа нигде не расширен по ошибке.</t>
        </is>
      </c>
      <c r="D9" s="11" t="inlineStr">
        <is>
          <t>Вход под супер-админом.</t>
        </is>
      </c>
      <c r="E9" s="11" t="inlineStr">
        <is>
          <t>1. Введи в адресной строке адрес стенда + /dashboard/dynamic-form (Правила).
2. Затем /dashboard/mezonlar (Критерии).
3. Затем /dashboard/operator-pipelines (Настройка очереди).
4. Затем /dashboard/attendance (Посещаемость).</t>
        </is>
      </c>
      <c r="F9" s="10" t="inlineStr">
        <is>
          <t>High</t>
        </is>
      </c>
      <c r="G9" s="10" t="inlineStr">
        <is>
          <t>Негативный</t>
        </is>
      </c>
      <c r="H9" s="10" t="inlineStr">
        <is>
          <t>UI</t>
        </is>
      </c>
      <c r="I9" s="11" t="inlineStr">
        <is>
          <t>Ни один из четырёх разделов не открывается — везде заглушка «нет доступа».</t>
        </is>
      </c>
      <c r="J9" s="11" t="inlineStr"/>
      <c r="K9" s="10" t="inlineStr">
        <is>
          <t>Not Run</t>
        </is>
      </c>
      <c r="L9" s="10" t="inlineStr">
        <is>
          <t>—</t>
        </is>
      </c>
    </row>
    <row r="10" ht="70" customHeight="1">
      <c r="A10" s="10" t="inlineStr">
        <is>
          <t>TC-029</t>
        </is>
      </c>
      <c r="B10" s="11" t="inlineStr">
        <is>
          <t>Супер-админ не открывает рабочие экраны оператора</t>
        </is>
      </c>
      <c r="C10" s="11" t="inlineStr">
        <is>
          <t>Аналогично TC-028 — но для экранов оператора: режим обзвона, смена, рабочий стол, таблица лидов.</t>
        </is>
      </c>
      <c r="D10" s="11" t="inlineStr">
        <is>
          <t>Вход под супер-админом.</t>
        </is>
      </c>
      <c r="E10" s="11" t="inlineStr">
        <is>
          <t>1. Введи в адресной строке адрес стенда + /dashboard/calling.
2. Затем /dashboard/calls (таблица лидов оператора).
3. Затем /dashboard/work.
4. Затем /dashboard/home.</t>
        </is>
      </c>
      <c r="F10" s="10" t="inlineStr">
        <is>
          <t>High</t>
        </is>
      </c>
      <c r="G10" s="10" t="inlineStr">
        <is>
          <t>Негативный</t>
        </is>
      </c>
      <c r="H10" s="10" t="inlineStr">
        <is>
          <t>UI</t>
        </is>
      </c>
      <c r="I10" s="11" t="inlineStr">
        <is>
          <t>Ни один экран не открывается — заглушка «нет доступа». Лид из очереди не захвачен.</t>
        </is>
      </c>
      <c r="J10" s="11" t="inlineStr"/>
      <c r="K10" s="10" t="inlineStr">
        <is>
          <t>Not Run</t>
        </is>
      </c>
      <c r="L10" s="10" t="inlineStr">
        <is>
          <t>—</t>
        </is>
      </c>
    </row>
    <row r="11" ht="56.8" customHeight="1">
      <c r="A11" s="10" t="inlineStr">
        <is>
          <t>TC-030</t>
        </is>
      </c>
      <c r="B11" s="11" t="inlineStr">
        <is>
          <t>Незалогиненный гость всегда попадает на страницу входа</t>
        </is>
      </c>
      <c r="C11" s="11" t="inlineStr">
        <is>
          <t>Любой внутренний адрес системы без входа должен вести на форму логина, а не показывать данные.</t>
        </is>
      </c>
      <c r="D11" s="11" t="inlineStr">
        <is>
          <t>Никто не залогинен (новое приватное окно браузера).</t>
        </is>
      </c>
      <c r="E11" s="11" t="inlineStr">
        <is>
          <t>1. Введи в адресной строке адрес стенда + /dashboard/calls.
2. Затем /dashboard/rop.
3. Затем /dashboard/mezonlar.</t>
        </is>
      </c>
      <c r="F11" s="10" t="inlineStr">
        <is>
          <t>Critical</t>
        </is>
      </c>
      <c r="G11" s="10" t="inlineStr">
        <is>
          <t>Негативный</t>
        </is>
      </c>
      <c r="H11" s="10" t="inlineStr">
        <is>
          <t>UI</t>
        </is>
      </c>
      <c r="I11" s="11" t="inlineStr">
        <is>
          <t>Во всех трёх случаях открывается страница входа. Никакие данные разделов не мелькают до редиректа.</t>
        </is>
      </c>
      <c r="J11" s="11" t="inlineStr"/>
      <c r="K11" s="10" t="inlineStr">
        <is>
          <t>Not Run</t>
        </is>
      </c>
      <c r="L11" s="10" t="inlineStr">
        <is>
          <t>—</t>
        </is>
      </c>
    </row>
    <row r="12" ht="83.19999999999999" customHeight="1">
      <c r="A12" s="10" t="inlineStr">
        <is>
          <t>TC-031</t>
        </is>
      </c>
      <c r="B12" s="11" t="inlineStr">
        <is>
          <t>Супер-админ не может править операторов чужого РОП</t>
        </is>
      </c>
      <c r="C12" s="11" t="inlineStr">
        <is>
          <t>По требованию доступ супер-админа к операторам РОП — «только просмотр». Но таблица операторов у него та же, что у РОП, и кнопки действий в ней технически есть (находка из анализа кода, риск R-2). Проверяем, что сервер отклоняет изменения.</t>
        </is>
      </c>
      <c r="D12" s="11" t="inlineStr">
        <is>
          <t>Вход под супер-админом. У тестового РОП есть тестовый оператор.</t>
        </is>
      </c>
      <c r="E12" s="11" t="inlineStr">
        <is>
          <t>1. Открой «РОПы», нажми на строку тестового РОП — откроется его карточка со списком операторов.
2. Попробуй найти у оператора действия «Редактировать» / «Деактивировать» / «Сбросить пароль».
3. Если действия доступны — попробуй изменить у оператора имя и сохранить.</t>
        </is>
      </c>
      <c r="F12" s="10" t="inlineStr">
        <is>
          <t>High</t>
        </is>
      </c>
      <c r="G12" s="10" t="inlineStr">
        <is>
          <t>Негативный</t>
        </is>
      </c>
      <c r="H12" s="10" t="inlineStr">
        <is>
          <t>UI</t>
        </is>
      </c>
      <c r="I12" s="11" t="inlineStr">
        <is>
          <t>Идеально: действий редактирования нет вообще (только просмотр). Допустимо: действия видны, но сервер отвечает отказом и данные не меняются. Если изменение ПРОШЛО — это дефект прав (R-2), фиксируй как баг.</t>
        </is>
      </c>
      <c r="J12" s="11" t="inlineStr"/>
      <c r="K12" s="10" t="inlineStr">
        <is>
          <t>Not Run</t>
        </is>
      </c>
      <c r="L12" s="10" t="inlineStr">
        <is>
          <t>—</t>
        </is>
      </c>
    </row>
    <row r="13" ht="56.8" customHeight="1">
      <c r="A13" s="10" t="inlineStr">
        <is>
          <t>TC-032</t>
        </is>
      </c>
      <c r="B13" s="11" t="inlineStr">
        <is>
          <t>РОП-А не видит операторов РОП-Б</t>
        </is>
      </c>
      <c r="C13" s="11" t="inlineStr">
        <is>
          <t>Главная проверка изоляции клиентов (риск R-1 — критический). Два разных клиента платформы не должны видеть данные друг друга.</t>
        </is>
      </c>
      <c r="D13" s="11" t="inlineStr">
        <is>
          <t>На стенде есть два РОП: РОП-А и РОП-Б, у каждого хотя бы один оператор. Логины обоих известны QA.</t>
        </is>
      </c>
      <c r="E13" s="11" t="inlineStr">
        <is>
          <t>1. Войди под РОП-А, открой «Операторы».
2. Выпиши список операторов.
3. Выйди, войди под РОП-Б, открой «Операторы».
4. Сравни списки.</t>
        </is>
      </c>
      <c r="F13" s="10" t="inlineStr">
        <is>
          <t>Critical</t>
        </is>
      </c>
      <c r="G13" s="10" t="inlineStr">
        <is>
          <t>Негативный</t>
        </is>
      </c>
      <c r="H13" s="10" t="inlineStr">
        <is>
          <t>UI</t>
        </is>
      </c>
      <c r="I13" s="11" t="inlineStr">
        <is>
          <t>Каждый РОП видит ТОЛЬКО своих операторов. Ни одного пересечения между списками нет.</t>
        </is>
      </c>
      <c r="J13" s="11" t="inlineStr"/>
      <c r="K13" s="10" t="inlineStr">
        <is>
          <t>Not Run</t>
        </is>
      </c>
      <c r="L13" s="10" t="inlineStr">
        <is>
          <t>—</t>
        </is>
      </c>
    </row>
    <row r="14" ht="70" customHeight="1">
      <c r="A14" s="10" t="inlineStr">
        <is>
          <t>TC-033</t>
        </is>
      </c>
      <c r="B14" s="11" t="inlineStr">
        <is>
          <t>РОП-А не открывает карточку оператора РОП-Б по прямой ссылке</t>
        </is>
      </c>
      <c r="C14" s="11" t="inlineStr">
        <is>
          <t>Изоляция должна работать и для прямых ссылок с чужим номером (ID) в адресе — самый частый способ «дыры»: перебор чисел в адресной строке.</t>
        </is>
      </c>
      <c r="D14" s="11" t="inlineStr">
        <is>
          <t>Известен ID оператора РОП-Б (виден в адресе его карточки при входе под РОП-Б: /dashboard/operators/НОМЕР). Вход под РОП-А.</t>
        </is>
      </c>
      <c r="E14" s="11" t="inlineStr">
        <is>
          <t>1. Введи в адресной строке адрес стенда + /dashboard/operators/НОМЕР-оператора-РОП-Б.
2. Затем открой /dashboard/operators/НОМЕР/calls (звонки этого оператора).</t>
        </is>
      </c>
      <c r="F14" s="10" t="inlineStr">
        <is>
          <t>Critical</t>
        </is>
      </c>
      <c r="G14" s="10" t="inlineStr">
        <is>
          <t>Негативный</t>
        </is>
      </c>
      <c r="H14" s="10" t="inlineStr">
        <is>
          <t>UI</t>
        </is>
      </c>
      <c r="I14" s="11" t="inlineStr">
        <is>
          <t>Карточка чужого оператора НЕ открывается: «нет доступа», «не найдено» или пустая страница без данных. Имя, зарплата, звонки чужого оператора не видны.</t>
        </is>
      </c>
      <c r="J14" s="11" t="inlineStr"/>
      <c r="K14" s="10" t="inlineStr">
        <is>
          <t>Not Run</t>
        </is>
      </c>
      <c r="L14" s="10" t="inlineStr">
        <is>
          <t>—</t>
        </is>
      </c>
    </row>
    <row r="15" ht="70" customHeight="1">
      <c r="A15" s="10" t="inlineStr">
        <is>
          <t>TC-034</t>
        </is>
      </c>
      <c r="B15" s="11" t="inlineStr">
        <is>
          <t>Оператор видит только лиды воронок своего РОП</t>
        </is>
      </c>
      <c r="C15" s="11" t="inlineStr">
        <is>
          <t>Таблица «Звонки» оператора — это сделки из AmoCRM его компании. Лиды другой компании (РОП-Б) появляться не должны (риск R-1).</t>
        </is>
      </c>
      <c r="D15" s="11" t="inlineStr">
        <is>
          <t>У РОП-А и РОП-Б настроены свои AmoCRM с разными лидами. Известно несколько названий лидов РОП-Б. Вход под оператором РОП-А.</t>
        </is>
      </c>
      <c r="E15" s="11" t="inlineStr">
        <is>
          <t>1. Открой раздел «Звонки».
2. Просмотри таблицу (пролистай все страницы или используй поиск).
3. Поищи названия лидов, принадлежащих РОП-Б.</t>
        </is>
      </c>
      <c r="F15" s="10" t="inlineStr">
        <is>
          <t>Critical</t>
        </is>
      </c>
      <c r="G15" s="10" t="inlineStr">
        <is>
          <t>Негативный</t>
        </is>
      </c>
      <c r="H15" s="10" t="inlineStr">
        <is>
          <t>UI</t>
        </is>
      </c>
      <c r="I15" s="11" t="inlineStr">
        <is>
          <t>Лиды РОП-Б в таблице отсутствуют. Видны только лиды воронок, назначенных этому оператору его РОП.</t>
        </is>
      </c>
      <c r="J15" s="11" t="inlineStr"/>
      <c r="K15" s="10" t="inlineStr">
        <is>
          <t>Not Run</t>
        </is>
      </c>
      <c r="L15" s="10" t="inlineStr">
        <is>
          <t>—</t>
        </is>
      </c>
    </row>
    <row r="16" ht="70" customHeight="1">
      <c r="A16" s="10" t="inlineStr">
        <is>
          <t>TC-035</t>
        </is>
      </c>
      <c r="B16" s="11" t="inlineStr">
        <is>
          <t>Оператор не открывает чужую карточку звонка по прямой ссылке</t>
        </is>
      </c>
      <c r="C16" s="11" t="inlineStr">
        <is>
          <t>Карточка звонка содержит запись разговора и данные клиента. Подстановка чужого номера события в адрес не должна открывать чужой звонок.</t>
        </is>
      </c>
      <c r="D16" s="11" t="inlineStr">
        <is>
          <t>Известен адрес карточки звонка оператора РОП-Б (/dashboard/calls/НОМЕР — виден при входе под РОП-Б). Вход под оператором РОП-А.</t>
        </is>
      </c>
      <c r="E16" s="11" t="inlineStr">
        <is>
          <t>1. Введи в адресной строке адрес чужой карточки звонка.
2. Если открылось что-то — попробуй нажать на запись разговора и транскрипцию.</t>
        </is>
      </c>
      <c r="F16" s="10" t="inlineStr">
        <is>
          <t>Critical</t>
        </is>
      </c>
      <c r="G16" s="10" t="inlineStr">
        <is>
          <t>Негативный</t>
        </is>
      </c>
      <c r="H16" s="10" t="inlineStr">
        <is>
          <t>UI</t>
        </is>
      </c>
      <c r="I16" s="11" t="inlineStr">
        <is>
          <t>Чужая карточка не открывается: «нет доступа» / «не найдено». Аудиозапись и текст разговора чужой компании недоступны.</t>
        </is>
      </c>
      <c r="J16" s="11" t="inlineStr"/>
      <c r="K16" s="10" t="inlineStr">
        <is>
          <t>Not Run</t>
        </is>
      </c>
      <c r="L16" s="10" t="inlineStr">
        <is>
          <t>—</t>
        </is>
      </c>
    </row>
    <row r="17" ht="70" customHeight="1">
      <c r="A17" s="10" t="inlineStr">
        <is>
          <t>TC-036</t>
        </is>
      </c>
      <c r="B17" s="11" t="inlineStr">
        <is>
          <t>РОП-А не видит настройки и воронку РОП-Б</t>
        </is>
      </c>
      <c r="C17" s="11" t="inlineStr">
        <is>
          <t>Правила («Правила»), настройки очереди («Критерии») и привязка воронок — у каждого РОП свои. Проверяем, что экраны РОП-А показывают только его данные.</t>
        </is>
      </c>
      <c r="D17" s="11" t="inlineStr">
        <is>
          <t>У РОП-А и РОП-Б подключены разные AmoCRM (разные воронки, названия известны). Вход под РОП-А.</t>
        </is>
      </c>
      <c r="E17" s="11" t="inlineStr">
        <is>
          <t>1. Открой «Правила». Посмотри название воронки и список статусов.
2. Открой «Настройка очереди». Посмотри список воронок и операторов.
3. Открой «Критерии». Посмотри значения настроек.</t>
        </is>
      </c>
      <c r="F17" s="10" t="inlineStr">
        <is>
          <t>Critical</t>
        </is>
      </c>
      <c r="G17" s="10" t="inlineStr">
        <is>
          <t>Негативный</t>
        </is>
      </c>
      <c r="H17" s="10" t="inlineStr">
        <is>
          <t>UI</t>
        </is>
      </c>
      <c r="I17" s="11" t="inlineStr">
        <is>
          <t>Везде — только воронки, статусы и операторы РОП-А. Названия воронок РОП-Б нигде не встречаются.</t>
        </is>
      </c>
      <c r="J17" s="11" t="inlineStr"/>
      <c r="K17" s="10" t="inlineStr">
        <is>
          <t>Not Run</t>
        </is>
      </c>
      <c r="L17" s="10" t="inlineStr">
        <is>
          <t>—</t>
        </is>
      </c>
    </row>
    <row r="18" ht="43.59999999999999" customHeight="1">
      <c r="A18" s="10" t="inlineStr">
        <is>
          <t>TC-037</t>
        </is>
      </c>
      <c r="B18" s="11" t="inlineStr">
        <is>
          <t>РОП-А не видит посещаемость операторов РОП-Б</t>
        </is>
      </c>
      <c r="C18" s="11" t="inlineStr">
        <is>
          <t>Экран «Посещаемость» показывает смены и перерывы операторов. Данные чужой компании — закрыты.</t>
        </is>
      </c>
      <c r="D18" s="11" t="inlineStr">
        <is>
          <t>Вход под РОП-А. У РОП-Б есть операторы со сменами.</t>
        </is>
      </c>
      <c r="E18" s="11" t="inlineStr">
        <is>
          <t>1. Открой «Посещаемость».
2. Просмотри список операторов за текущую неделю.</t>
        </is>
      </c>
      <c r="F18" s="10" t="inlineStr">
        <is>
          <t>High</t>
        </is>
      </c>
      <c r="G18" s="10" t="inlineStr">
        <is>
          <t>Негативный</t>
        </is>
      </c>
      <c r="H18" s="10" t="inlineStr">
        <is>
          <t>UI</t>
        </is>
      </c>
      <c r="I18" s="11" t="inlineStr">
        <is>
          <t>В списке — только операторы РОП-А. Операторов РОП-Б нет.</t>
        </is>
      </c>
      <c r="J18" s="11" t="inlineStr"/>
      <c r="K18" s="10" t="inlineStr">
        <is>
          <t>Not Run</t>
        </is>
      </c>
      <c r="L18" s="10" t="inlineStr">
        <is>
          <t>—</t>
        </is>
      </c>
    </row>
    <row r="19" ht="70" customHeight="1">
      <c r="A19" s="10" t="inlineStr">
        <is>
          <t>TC-038</t>
        </is>
      </c>
      <c r="B19" s="11" t="inlineStr">
        <is>
          <t>Транскрипция чужого звонка недоступна по прямой ссылке</t>
        </is>
      </c>
      <c r="C19" s="11" t="inlineStr">
        <is>
          <t>Экран транскрипции доступен всем трём ролям, поэтому изоляция здесь держится только на проверке компании на сервере. Подстановка чужих номеров в адрес не должна открывать текст чужого разговора.</t>
        </is>
      </c>
      <c r="D19" s="11" t="inlineStr">
        <is>
          <t>Известен полный адрес транскрипции звонка РОП-Б (/dashboard/calls/НОМЕР/transcript/НОМЕР). Вход под оператором РОП-А.</t>
        </is>
      </c>
      <c r="E19" s="11" t="inlineStr">
        <is>
          <t>1. Введи в адресной строке адрес чужой транскрипции.</t>
        </is>
      </c>
      <c r="F19" s="10" t="inlineStr">
        <is>
          <t>High</t>
        </is>
      </c>
      <c r="G19" s="10" t="inlineStr">
        <is>
          <t>Негативный</t>
        </is>
      </c>
      <c r="H19" s="10" t="inlineStr">
        <is>
          <t>UI</t>
        </is>
      </c>
      <c r="I19" s="11" t="inlineStr">
        <is>
          <t>Текст разговора НЕ показывается: «нет доступа» / «не найдено» / пустая страница.</t>
        </is>
      </c>
      <c r="J19" s="11" t="inlineStr"/>
      <c r="K19" s="10" t="inlineStr">
        <is>
          <t>Not Run</t>
        </is>
      </c>
      <c r="L19" s="10" t="inlineStr">
        <is>
          <t>—</t>
        </is>
      </c>
    </row>
    <row r="20" ht="56.8" customHeight="1">
      <c r="A20" s="10" t="inlineStr">
        <is>
          <t>TC-039</t>
        </is>
      </c>
      <c r="B20" s="11" t="inlineStr">
        <is>
          <t>После выхода кнопка «Назад» не показывает данные</t>
        </is>
      </c>
      <c r="C20" s="11" t="inlineStr">
        <is>
          <t>Человек вышел из системы за общим компьютером. Следующий за компьютером не должен увидеть данные через историю браузера.</t>
        </is>
      </c>
      <c r="D20" s="11" t="inlineStr">
        <is>
          <t>Вход под РОП, открыт раздел «Операторы» (таблица с данными).</t>
        </is>
      </c>
      <c r="E20" s="11" t="inlineStr">
        <is>
          <t>1. Выйди из системы (аватар → «Выйти»).
2. Нажми кнопку «Назад» в браузере.
3. Если что-то показалось — нажми F5.</t>
        </is>
      </c>
      <c r="F20" s="10" t="inlineStr">
        <is>
          <t>Medium</t>
        </is>
      </c>
      <c r="G20" s="10" t="inlineStr">
        <is>
          <t>Негативный</t>
        </is>
      </c>
      <c r="H20" s="10" t="inlineStr">
        <is>
          <t>UI</t>
        </is>
      </c>
      <c r="I20" s="11" t="inlineStr">
        <is>
          <t>Таблица операторов не отображается — показывается страница входа. Допустимо мгновенное появление «скелета» страницы без данных, но не самих данных.</t>
        </is>
      </c>
      <c r="J20" s="11" t="inlineStr"/>
      <c r="K20" s="10" t="inlineStr">
        <is>
          <t>Not Run</t>
        </is>
      </c>
      <c r="L20" s="10" t="inlineStr">
        <is>
          <t>—</t>
        </is>
      </c>
    </row>
    <row r="21" ht="122.8" customHeight="1">
      <c r="A21" s="10" t="inlineStr">
        <is>
          <t>TC-040</t>
        </is>
      </c>
      <c r="B21" s="11" t="inlineStr">
        <is>
          <t>API: запрос без токена отклоняется (401)</t>
        </is>
      </c>
      <c r="C21" s="11" t="inlineStr">
        <is>
          <t>Каждый запрос к API должен предъявлять «пропуск» (токен). Проверяем, что без него сервер отвечает отказом 401 и не отдаёт данные. Что делает команда ниже: curl — это программа, которая отправляет запрос на сервер, как это делает браузер, только из командной строки. Мы просим у сервера список пользователей, не представившись.</t>
        </is>
      </c>
      <c r="D21" s="11" t="inlineStr">
        <is>
          <t>Известен адрес бэкенда тестового стенда ({STAGE_API_URL} — взять из .env, переменная с URL стенда). Установлен curl (в Windows 10/11 уже встроен: открой «Терминал»).</t>
        </is>
      </c>
      <c r="E21" s="11" t="inlineStr">
        <is>
          <t>1. Открой терминал (Windows: Win+R → cmd → Enter).
2. Вставь команду, заменив {STAGE_API_URL} на адрес стенда, и нажми Enter:
   curl -i {STAGE_API_URL}/v1/users
3. Посмотри первую строку ответа — в ней код (например, «HTTP/1.1 401 Unauthorized»).
4. Просмотри остальной ответ: в нём не должно быть списка людей (имён, логинов).</t>
        </is>
      </c>
      <c r="F21" s="10" t="inlineStr">
        <is>
          <t>Critical</t>
        </is>
      </c>
      <c r="G21" s="10" t="inlineStr">
        <is>
          <t>Негативный</t>
        </is>
      </c>
      <c r="H21" s="10" t="inlineStr">
        <is>
          <t>API</t>
        </is>
      </c>
      <c r="I21" s="11" t="inlineStr">
        <is>
          <t>Код ответа — 401 (Unauthorized, «не представился»). В теле ответа — только сообщение об ошибке, никаких данных пользователей.</t>
        </is>
      </c>
      <c r="J21" s="11" t="inlineStr"/>
      <c r="K21" s="10" t="inlineStr">
        <is>
          <t>Not Run</t>
        </is>
      </c>
      <c r="L21" s="10" t="inlineStr">
        <is>
          <t>—</t>
        </is>
      </c>
    </row>
    <row r="22" ht="254.8" customHeight="1">
      <c r="A22" s="10" t="inlineStr">
        <is>
          <t>TC-041</t>
        </is>
      </c>
      <c r="B22" s="11" t="inlineStr">
        <is>
          <t>API: оператор не может создать РОП</t>
        </is>
      </c>
      <c r="C22" s="11" t="inlineStr">
        <is>
          <t>Создание РОП — операция супер-админа. Проверяем на уровне API, что сервер отклонит её с токеном оператора: интерфейс кнопку прячет, но запрос можно отправить и напрямую — защита должна быть на сервере (риск R-2). Сначала получаем токен оператора (шаг 2), потом пробуем создать РОП (шаг 4).</t>
        </is>
      </c>
      <c r="D22" s="11" t="inlineStr">
        <is>
          <t>Известны {STAGE_API_URL} и логин/пароль ТЕСТОВОГО оператора (из .env). Терминал с curl.</t>
        </is>
      </c>
      <c r="E22" s="11" t="inlineStr">
        <is>
          <t>1. Открой терминал.
2. Получи токен оператора — отправь свой логин и пароль (подставь свои значения):
   curl -s -X POST {STAGE_API_URL}/v1/auth/login -H "Content-Type: application/json" -d "{\"username\":\"ЛОГИН_ОПЕРАТОРА\",\"password\":\"ПАРОЛЬ\"}"
3. В ответе найди поле access_token и скопируй длинную строку в кавычках после него — это и есть «пропуск» на ближайшие 15 минут.
4. Попробуй создать РОП с этим пропуском (вставь скопированный токен вместо ТОКЕН):
   curl -i -X POST {STAGE_API_URL}/v1/rops -H "Authorization: Bearer ТОКЕН" -H "Content-Type: application/json" -d "{\"username\":\"qa-test-rop-tc042\",\"password\":\"qa-test-12345\",\"first_name\":\"QA\",\"last_name\":\"Test\",\"company_name\":\"QA Test TC-042\"}"
5. Посмотри код в первой строке ответа.
6. Войди в админку под супер-админом и проверь раздел «РОПы»: компания «QA Test TC-042» появиться НЕ должна.</t>
        </is>
      </c>
      <c r="F22" s="10" t="inlineStr">
        <is>
          <t>Critical</t>
        </is>
      </c>
      <c r="G22" s="10" t="inlineStr">
        <is>
          <t>Негативный</t>
        </is>
      </c>
      <c r="H22" s="10" t="inlineStr">
        <is>
          <t>API</t>
        </is>
      </c>
      <c r="I22" s="11" t="inlineStr">
        <is>
          <t>Шаг 4: код ответа 403 (Forbidden, «нет прав») — не 200 и не 201. Шаг 6: новый РОП в списке не появился. Если появился — критический дефект прав, заводим баг немедленно.</t>
        </is>
      </c>
      <c r="J22" s="11" t="inlineStr"/>
      <c r="K22" s="10" t="inlineStr">
        <is>
          <t>Not Run</t>
        </is>
      </c>
      <c r="L22" s="10" t="inlineStr">
        <is>
          <t>—</t>
        </is>
      </c>
    </row>
    <row r="23" ht="109.6" customHeight="1">
      <c r="A23" s="10" t="inlineStr">
        <is>
          <t>TC-042</t>
        </is>
      </c>
      <c r="B23" s="11" t="inlineStr">
        <is>
          <t>API: РОП-А не читает данные оператора РОП-Б</t>
        </is>
      </c>
      <c r="C23" s="11" t="inlineStr">
        <is>
          <t>Изоляция клиентов на уровне API (риск R-1). Даже зная внутренний номер (ID) чужого оператора, РОП-А не должен получить его данные запросом напрямую — интерфейс это скрывает, но сервер должен проверять принадлежность сам.</t>
        </is>
      </c>
      <c r="D23" s="11" t="inlineStr">
        <is>
          <t>Известны {STAGE_API_URL}, логин/пароль РОП-А и ID любого оператора РОП-Б (ID виден в адресной строке карточки оператора при входе под РОП-Б: /dashboard/operators/ЭТОТ-ДЛИННЫЙ-НОМЕР).</t>
        </is>
      </c>
      <c r="E23" s="11" t="inlineStr">
        <is>
          <t>1. Открой терминал.
2. Получи токен РОП-А (как в TC-041, шаг 2, только с логином и паролем РОП-А).
3. Запроси карточку чужого оператора (подставь токен РОП-А и ID оператора РОП-Б):
   curl -i {STAGE_API_URL}/v1/users/ID_ОПЕРАТОРА_РОП_Б -H "Authorization: Bearer ТОКЕН"
4. Посмотри код ответа и тело.</t>
        </is>
      </c>
      <c r="F23" s="10" t="inlineStr">
        <is>
          <t>Critical</t>
        </is>
      </c>
      <c r="G23" s="10" t="inlineStr">
        <is>
          <t>Негативный</t>
        </is>
      </c>
      <c r="H23" s="10" t="inlineStr">
        <is>
          <t>API</t>
        </is>
      </c>
      <c r="I23" s="11" t="inlineStr">
        <is>
          <t>Код ответа 403 или 404 — оба допустимы. В теле НЕТ данных оператора: ни имени, ни телефона, ни зарплаты, ни внутреннего номера. Если данные вернулись — критический дефект изоляции (R-1), баг немедленно.</t>
        </is>
      </c>
      <c r="J23" s="11" t="inlineStr"/>
      <c r="K23" s="10" t="inlineStr">
        <is>
          <t>Not Run</t>
        </is>
      </c>
      <c r="L23" s="10" t="inlineStr">
        <is>
          <t>—</t>
        </is>
      </c>
    </row>
    <row r="24" ht="70" customHeight="1">
      <c r="A24" s="10" t="inlineStr">
        <is>
          <t>TC-043</t>
        </is>
      </c>
      <c r="B24" s="11" t="inlineStr">
        <is>
          <t>Смена роли требует нового входа: сессии не смешиваются</t>
        </is>
      </c>
      <c r="C24" s="11" t="inlineStr">
        <is>
          <t>Проверяем, что после выхода из-под одной роли и входа под другой права применяются заново — меню и доступы соответствуют НОВОЙ роли, ничего не «прилипло» от предыдущей.</t>
        </is>
      </c>
      <c r="D24" s="11" t="inlineStr">
        <is>
          <t>Известны учётные записи РОП и оператора одной компании.</t>
        </is>
      </c>
      <c r="E24" s="11" t="inlineStr">
        <is>
          <t>1. Войди под РОП. Убедись, что видишь меню РОП (см. TC-022).
2. Выйди. Войди под оператором в том же браузере.
3. Посмотри меню и попробуй открыть /dashboard/mezonlar по прямой ссылке.</t>
        </is>
      </c>
      <c r="F24" s="10" t="inlineStr">
        <is>
          <t>High</t>
        </is>
      </c>
      <c r="G24" s="10" t="inlineStr">
        <is>
          <t>Негативный</t>
        </is>
      </c>
      <c r="H24" s="10" t="inlineStr">
        <is>
          <t>UI</t>
        </is>
      </c>
      <c r="I24" s="11" t="inlineStr">
        <is>
          <t>После входа под оператором меню — операторское (см. TC-023), а «Критерии» по прямой ссылке НЕ открываются, хотя минуту назад под РОП открывались.</t>
        </is>
      </c>
      <c r="J24" s="11" t="inlineStr"/>
      <c r="K24" s="10" t="inlineStr">
        <is>
          <t>Not Run</t>
        </is>
      </c>
      <c r="L24" s="10" t="inlineStr">
        <is>
          <t>—</t>
        </is>
      </c>
    </row>
  </sheetData>
  <autoFilter ref="A1:L24"/>
  <conditionalFormatting sqref="K2:K54">
    <cfRule type="cellIs" priority="1" operator="equal" dxfId="0">
      <formula>"Passed"</formula>
    </cfRule>
    <cfRule type="cellIs" priority="2" operator="equal" dxfId="1">
      <formula>"Failed"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dataValidations count="3">
    <dataValidation sqref="F2:F54" showDropDown="0" showInputMessage="0" showErrorMessage="0" allowBlank="1" errorTitle="Недопустимое значение" error="Выбери значение из списка: Critical, High, Medium, Low" type="list">
      <formula1>"Critical,High,Medium,Low"</formula1>
    </dataValidation>
    <dataValidation sqref="K2:K54" showDropDown="0" showInputMessage="0" showErrorMessage="0" allowBlank="1" errorTitle="Недопустимое значение" error="Выбери значение из списка: Not Run, Passed, Failed, Blocked" type="list">
      <formula1>"Not Run,Passed,Failed,Blocked"</formula1>
    </dataValidation>
    <dataValidation sqref="H2:H54" showDropDown="0" showInputMessage="0" showErrorMessage="0" allowBlank="1" errorTitle="Недопустимое значение" error="Выбери значение из списка: UI, API, UI+API" type="list">
      <formula1>"UI,API,UI+API"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2026-07-25T15:35:24Z</dcterms:created>
  <dcterms:modified xsi:type="dcterms:W3CDTF">2026-07-25T15:35:38Z</dcterms:modified>
</cp:coreProperties>
</file>