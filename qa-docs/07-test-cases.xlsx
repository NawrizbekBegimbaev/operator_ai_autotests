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01 Авторизация" sheetId="2" state="visible" r:id="rId2"/>
    <sheet name="02 Права и изоляция" sheetId="3" state="visible" r:id="rId3"/>
    <sheet name="03 Пользователи" sheetId="4" state="visible" r:id="rId4"/>
    <sheet name="04 Лиды и статусы" sheetId="5" state="visible" r:id="rId5"/>
    <sheet name="05 Очередь обзвона" sheetId="6" state="visible" r:id="rId6"/>
    <sheet name="06 Звонок (цикл)" sheetId="7" state="visible" r:id="rId7"/>
    <sheet name="07 AI-анализ" sheetId="8" state="visible" r:id="rId8"/>
    <sheet name="08 AmoCRM" sheetId="9" state="visible" r:id="rId9"/>
    <sheet name="09 OnlinePBX" sheetId="10" state="visible" r:id="rId10"/>
    <sheet name="10 Тарифы" sheetId="11" state="visible" r:id="rId11"/>
    <sheet name="11 Локализация" sheetId="12" state="visible" r:id="rId12"/>
    <sheet name="12 Смены и посещаемость" sheetId="13" state="visible" r:id="rId13"/>
    <sheet name="13 Лендинг и сквозное" sheetId="14" state="visible" r:id="rId14"/>
    <sheet name="14 Отложенные до релиза" sheetId="15" state="visible" r:id="rId15"/>
  </sheets>
  <definedNames>
    <definedName name="_xlnm._FilterDatabase" localSheetId="1" hidden="1">'01 Авторизация'!$A$1:$L$21</definedName>
    <definedName name="_xlnm._FilterDatabase" localSheetId="2" hidden="1">'02 Права и изоляция'!$A$1:$L$24</definedName>
    <definedName name="_xlnm._FilterDatabase" localSheetId="3" hidden="1">'03 Пользователи'!$A$1:$L$22</definedName>
    <definedName name="_xlnm._FilterDatabase" localSheetId="4" hidden="1">'04 Лиды и статусы'!$A$1:$L$28</definedName>
    <definedName name="_xlnm._FilterDatabase" localSheetId="5" hidden="1">'05 Очередь обзвона'!$A$1:$L$24</definedName>
    <definedName name="_xlnm._FilterDatabase" localSheetId="6" hidden="1">'06 Звонок (цикл)'!$A$1:$L$28</definedName>
    <definedName name="_xlnm._FilterDatabase" localSheetId="7" hidden="1">'07 AI-анализ'!$A$1:$L$25</definedName>
    <definedName name="_xlnm._FilterDatabase" localSheetId="8" hidden="1">'08 AmoCRM'!$A$1:$L$35</definedName>
    <definedName name="_xlnm._FilterDatabase" localSheetId="9" hidden="1">'09 OnlinePBX'!$A$1:$L$28</definedName>
    <definedName name="_xlnm._FilterDatabase" localSheetId="10" hidden="1">'10 Тарифы'!$A$1:$L$27</definedName>
    <definedName name="_xlnm._FilterDatabase" localSheetId="11" hidden="1">'11 Локализация'!$A$1:$L$21</definedName>
    <definedName name="_xlnm._FilterDatabase" localSheetId="12" hidden="1">'12 Смены и посещаемость'!$A$1:$L$36</definedName>
    <definedName name="_xlnm._FilterDatabase" localSheetId="13" hidden="1">'13 Лендинг и сквозное'!$A$1:$L$31</definedName>
    <definedName name="_xlnm._FilterDatabase" localSheetId="14" hidden="1">'14 Отложенные до релиза'!$A$1:$L$14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247C9"/>
      <sz val="14"/>
    </font>
    <font>
      <i val="1"/>
      <color rgb="00595959"/>
      <sz val="10"/>
    </font>
    <font>
      <i val="1"/>
      <color rgb="009C0006"/>
      <sz val="10"/>
    </font>
    <font>
      <b val="1"/>
    </font>
    <font>
      <i val="1"/>
      <color rgb="00595959"/>
    </font>
    <font>
      <b val="1"/>
      <color rgb="002247C9"/>
      <sz val="12"/>
    </font>
  </fonts>
  <fills count="4">
    <fill>
      <patternFill/>
    </fill>
    <fill>
      <patternFill patternType="gray125"/>
    </fill>
    <fill>
      <patternFill patternType="solid">
        <fgColor rgb="002247C9"/>
      </patternFill>
    </fill>
    <fill>
      <patternFill patternType="solid">
        <fgColor rgb="00E8ED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5" fillId="3" borderId="1" pivotButton="0" quotePrefix="0" xfId="0"/>
    <xf numFmtId="9" fontId="5" fillId="3" borderId="1" pivotButton="0" quotePrefix="0" xfId="0"/>
    <xf numFmtId="0" fontId="3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Operator AI — тест-кейсы ручного тестирования</t>
        </is>
      </c>
    </row>
    <row r="2" ht="40" customHeight="1">
      <c r="A2" s="2" t="inlineStr">
        <is>
          <t>Как пользоваться: открой лист модуля, выполни шаги кейса на тестовом стенде, запиши «Фактический результат» и поставь «Статус» из выпадающего списка. Сводка ниже пересчитается сама.</t>
        </is>
      </c>
    </row>
    <row r="3" ht="40" customHeight="1">
      <c r="A3" s="3" t="inlineStr">
        <is>
          <t>Все проверки — только на тестовом стенде (staging). Учётные данные и токены — в .env, в этот файл их не вписываем. Названия кнопок даны по-русски, в скобках — узбекский вариант интерфейса. Колонка «Способ проверки»: UI — через браузер, API — запросом (curl/Postman, команда дана в шагах), UI+API — комбинированно. {STAGE_API_URL} в командах замени на адрес бэкенда тестового стенда из .env.</t>
        </is>
      </c>
    </row>
    <row r="5">
      <c r="A5" s="4" t="inlineStr">
        <is>
          <t>Модуль</t>
        </is>
      </c>
      <c r="B5" s="4" t="inlineStr">
        <is>
          <t>Кейсов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Blocked</t>
        </is>
      </c>
      <c r="F5" s="4" t="inlineStr">
        <is>
          <t>Not Run</t>
        </is>
      </c>
      <c r="G5" s="4" t="inlineStr">
        <is>
          <t>% пройдено</t>
        </is>
      </c>
    </row>
    <row r="6">
      <c r="A6" s="5" t="inlineStr">
        <is>
          <t>01 Авторизация</t>
        </is>
      </c>
      <c r="B6" s="5" t="n">
        <v>20</v>
      </c>
      <c r="C6" s="5">
        <f>COUNTIF('01 Авторизация'!$K$2:$K$21,"Passed")</f>
        <v/>
      </c>
      <c r="D6" s="5">
        <f>COUNTIF('01 Авторизация'!$K$2:$K$21,"Failed")</f>
        <v/>
      </c>
      <c r="E6" s="5">
        <f>COUNTIF('01 Авторизация'!$K$2:$K$21,"Blocked")</f>
        <v/>
      </c>
      <c r="F6" s="5">
        <f>COUNTIF('01 Авторизация'!$K$2:$K$21,"Not Run")</f>
        <v/>
      </c>
      <c r="G6" s="6">
        <f>IF(B6=0,0,C6/B6)</f>
        <v/>
      </c>
    </row>
    <row r="7">
      <c r="A7" s="5" t="inlineStr">
        <is>
          <t>02 Права и изоляция</t>
        </is>
      </c>
      <c r="B7" s="5" t="n">
        <v>23</v>
      </c>
      <c r="C7" s="5">
        <f>COUNTIF('02 Права и изоляция'!$K$2:$K$24,"Passed")</f>
        <v/>
      </c>
      <c r="D7" s="5">
        <f>COUNTIF('02 Права и изоляция'!$K$2:$K$24,"Failed")</f>
        <v/>
      </c>
      <c r="E7" s="5">
        <f>COUNTIF('02 Права и изоляция'!$K$2:$K$24,"Blocked")</f>
        <v/>
      </c>
      <c r="F7" s="5">
        <f>COUNTIF('02 Права и изоляция'!$K$2:$K$24,"Not Run")</f>
        <v/>
      </c>
      <c r="G7" s="6">
        <f>IF(B7=0,0,C7/B7)</f>
        <v/>
      </c>
    </row>
    <row r="8">
      <c r="A8" s="5" t="inlineStr">
        <is>
          <t>03 Пользователи</t>
        </is>
      </c>
      <c r="B8" s="5" t="n">
        <v>21</v>
      </c>
      <c r="C8" s="5">
        <f>COUNTIF('03 Пользователи'!$K$2:$K$22,"Passed")</f>
        <v/>
      </c>
      <c r="D8" s="5">
        <f>COUNTIF('03 Пользователи'!$K$2:$K$22,"Failed")</f>
        <v/>
      </c>
      <c r="E8" s="5">
        <f>COUNTIF('03 Пользователи'!$K$2:$K$22,"Blocked")</f>
        <v/>
      </c>
      <c r="F8" s="5">
        <f>COUNTIF('03 Пользователи'!$K$2:$K$22,"Not Run")</f>
        <v/>
      </c>
      <c r="G8" s="6">
        <f>IF(B8=0,0,C8/B8)</f>
        <v/>
      </c>
    </row>
    <row r="9">
      <c r="A9" s="5" t="inlineStr">
        <is>
          <t>04 Лиды и статусы</t>
        </is>
      </c>
      <c r="B9" s="5" t="n">
        <v>27</v>
      </c>
      <c r="C9" s="5">
        <f>COUNTIF('04 Лиды и статусы'!$K$2:$K$28,"Passed")</f>
        <v/>
      </c>
      <c r="D9" s="5">
        <f>COUNTIF('04 Лиды и статусы'!$K$2:$K$28,"Failed")</f>
        <v/>
      </c>
      <c r="E9" s="5">
        <f>COUNTIF('04 Лиды и статусы'!$K$2:$K$28,"Blocked")</f>
        <v/>
      </c>
      <c r="F9" s="5">
        <f>COUNTIF('04 Лиды и статусы'!$K$2:$K$28,"Not Run")</f>
        <v/>
      </c>
      <c r="G9" s="6">
        <f>IF(B9=0,0,C9/B9)</f>
        <v/>
      </c>
    </row>
    <row r="10">
      <c r="A10" s="5" t="inlineStr">
        <is>
          <t>05 Очередь обзвона</t>
        </is>
      </c>
      <c r="B10" s="5" t="n">
        <v>23</v>
      </c>
      <c r="C10" s="5">
        <f>COUNTIF('05 Очередь обзвона'!$K$2:$K$24,"Passed")</f>
        <v/>
      </c>
      <c r="D10" s="5">
        <f>COUNTIF('05 Очередь обзвона'!$K$2:$K$24,"Failed")</f>
        <v/>
      </c>
      <c r="E10" s="5">
        <f>COUNTIF('05 Очередь обзвона'!$K$2:$K$24,"Blocked")</f>
        <v/>
      </c>
      <c r="F10" s="5">
        <f>COUNTIF('05 Очередь обзвона'!$K$2:$K$24,"Not Run")</f>
        <v/>
      </c>
      <c r="G10" s="6">
        <f>IF(B10=0,0,C10/B10)</f>
        <v/>
      </c>
    </row>
    <row r="11">
      <c r="A11" s="5" t="inlineStr">
        <is>
          <t>06 Звонок (цикл)</t>
        </is>
      </c>
      <c r="B11" s="5" t="n">
        <v>27</v>
      </c>
      <c r="C11" s="5">
        <f>COUNTIF('06 Звонок (цикл)'!$K$2:$K$28,"Passed")</f>
        <v/>
      </c>
      <c r="D11" s="5">
        <f>COUNTIF('06 Звонок (цикл)'!$K$2:$K$28,"Failed")</f>
        <v/>
      </c>
      <c r="E11" s="5">
        <f>COUNTIF('06 Звонок (цикл)'!$K$2:$K$28,"Blocked")</f>
        <v/>
      </c>
      <c r="F11" s="5">
        <f>COUNTIF('06 Звонок (цикл)'!$K$2:$K$28,"Not Run")</f>
        <v/>
      </c>
      <c r="G11" s="6">
        <f>IF(B11=0,0,C11/B11)</f>
        <v/>
      </c>
    </row>
    <row r="12">
      <c r="A12" s="5" t="inlineStr">
        <is>
          <t>07 AI-анализ</t>
        </is>
      </c>
      <c r="B12" s="5" t="n">
        <v>24</v>
      </c>
      <c r="C12" s="5">
        <f>COUNTIF('07 AI-анализ'!$K$2:$K$25,"Passed")</f>
        <v/>
      </c>
      <c r="D12" s="5">
        <f>COUNTIF('07 AI-анализ'!$K$2:$K$25,"Failed")</f>
        <v/>
      </c>
      <c r="E12" s="5">
        <f>COUNTIF('07 AI-анализ'!$K$2:$K$25,"Blocked")</f>
        <v/>
      </c>
      <c r="F12" s="5">
        <f>COUNTIF('07 AI-анализ'!$K$2:$K$25,"Not Run")</f>
        <v/>
      </c>
      <c r="G12" s="6">
        <f>IF(B12=0,0,C12/B12)</f>
        <v/>
      </c>
    </row>
    <row r="13">
      <c r="A13" s="5" t="inlineStr">
        <is>
          <t>08 AmoCRM</t>
        </is>
      </c>
      <c r="B13" s="5" t="n">
        <v>34</v>
      </c>
      <c r="C13" s="5">
        <f>COUNTIF('08 AmoCRM'!$K$2:$K$35,"Passed")</f>
        <v/>
      </c>
      <c r="D13" s="5">
        <f>COUNTIF('08 AmoCRM'!$K$2:$K$35,"Failed")</f>
        <v/>
      </c>
      <c r="E13" s="5">
        <f>COUNTIF('08 AmoCRM'!$K$2:$K$35,"Blocked")</f>
        <v/>
      </c>
      <c r="F13" s="5">
        <f>COUNTIF('08 AmoCRM'!$K$2:$K$35,"Not Run")</f>
        <v/>
      </c>
      <c r="G13" s="6">
        <f>IF(B13=0,0,C13/B13)</f>
        <v/>
      </c>
    </row>
    <row r="14">
      <c r="A14" s="5" t="inlineStr">
        <is>
          <t>09 OnlinePBX</t>
        </is>
      </c>
      <c r="B14" s="5" t="n">
        <v>27</v>
      </c>
      <c r="C14" s="5">
        <f>COUNTIF('09 OnlinePBX'!$K$2:$K$28,"Passed")</f>
        <v/>
      </c>
      <c r="D14" s="5">
        <f>COUNTIF('09 OnlinePBX'!$K$2:$K$28,"Failed")</f>
        <v/>
      </c>
      <c r="E14" s="5">
        <f>COUNTIF('09 OnlinePBX'!$K$2:$K$28,"Blocked")</f>
        <v/>
      </c>
      <c r="F14" s="5">
        <f>COUNTIF('09 OnlinePBX'!$K$2:$K$28,"Not Run")</f>
        <v/>
      </c>
      <c r="G14" s="6">
        <f>IF(B14=0,0,C14/B14)</f>
        <v/>
      </c>
    </row>
    <row r="15">
      <c r="A15" s="5" t="inlineStr">
        <is>
          <t>10 Тарифы</t>
        </is>
      </c>
      <c r="B15" s="5" t="n">
        <v>26</v>
      </c>
      <c r="C15" s="5">
        <f>COUNTIF('10 Тарифы'!$K$2:$K$27,"Passed")</f>
        <v/>
      </c>
      <c r="D15" s="5">
        <f>COUNTIF('10 Тарифы'!$K$2:$K$27,"Failed")</f>
        <v/>
      </c>
      <c r="E15" s="5">
        <f>COUNTIF('10 Тарифы'!$K$2:$K$27,"Blocked")</f>
        <v/>
      </c>
      <c r="F15" s="5">
        <f>COUNTIF('10 Тарифы'!$K$2:$K$27,"Not Run")</f>
        <v/>
      </c>
      <c r="G15" s="6">
        <f>IF(B15=0,0,C15/B15)</f>
        <v/>
      </c>
    </row>
    <row r="16">
      <c r="A16" s="5" t="inlineStr">
        <is>
          <t>11 Локализация</t>
        </is>
      </c>
      <c r="B16" s="5" t="n">
        <v>20</v>
      </c>
      <c r="C16" s="5">
        <f>COUNTIF('11 Локализация'!$K$2:$K$21,"Passed")</f>
        <v/>
      </c>
      <c r="D16" s="5">
        <f>COUNTIF('11 Локализация'!$K$2:$K$21,"Failed")</f>
        <v/>
      </c>
      <c r="E16" s="5">
        <f>COUNTIF('11 Локализация'!$K$2:$K$21,"Blocked")</f>
        <v/>
      </c>
      <c r="F16" s="5">
        <f>COUNTIF('11 Локализация'!$K$2:$K$21,"Not Run")</f>
        <v/>
      </c>
      <c r="G16" s="6">
        <f>IF(B16=0,0,C16/B16)</f>
        <v/>
      </c>
    </row>
    <row r="17">
      <c r="A17" s="5" t="inlineStr">
        <is>
          <t>12 Смены и посещаемость</t>
        </is>
      </c>
      <c r="B17" s="5" t="n">
        <v>35</v>
      </c>
      <c r="C17" s="5">
        <f>COUNTIF('12 Смены и посещаемость'!$K$2:$K$36,"Passed")</f>
        <v/>
      </c>
      <c r="D17" s="5">
        <f>COUNTIF('12 Смены и посещаемость'!$K$2:$K$36,"Failed")</f>
        <v/>
      </c>
      <c r="E17" s="5">
        <f>COUNTIF('12 Смены и посещаемость'!$K$2:$K$36,"Blocked")</f>
        <v/>
      </c>
      <c r="F17" s="5">
        <f>COUNTIF('12 Смены и посещаемость'!$K$2:$K$36,"Not Run")</f>
        <v/>
      </c>
      <c r="G17" s="6">
        <f>IF(B17=0,0,C17/B17)</f>
        <v/>
      </c>
    </row>
    <row r="18">
      <c r="A18" s="5" t="inlineStr">
        <is>
          <t>13 Лендинг и сквозное</t>
        </is>
      </c>
      <c r="B18" s="5" t="n">
        <v>30</v>
      </c>
      <c r="C18" s="5">
        <f>COUNTIF('13 Лендинг и сквозное'!$K$2:$K$31,"Passed")</f>
        <v/>
      </c>
      <c r="D18" s="5">
        <f>COUNTIF('13 Лендинг и сквозное'!$K$2:$K$31,"Failed")</f>
        <v/>
      </c>
      <c r="E18" s="5">
        <f>COUNTIF('13 Лендинг и сквозное'!$K$2:$K$31,"Blocked")</f>
        <v/>
      </c>
      <c r="F18" s="5">
        <f>COUNTIF('13 Лендинг и сквозное'!$K$2:$K$31,"Not Run")</f>
        <v/>
      </c>
      <c r="G18" s="6">
        <f>IF(B18=0,0,C18/B18)</f>
        <v/>
      </c>
    </row>
    <row r="19">
      <c r="A19" s="7" t="inlineStr">
        <is>
          <t>ИТОГО (без отложенных)</t>
        </is>
      </c>
      <c r="B19" s="7">
        <f>SUM(B6:B18)</f>
        <v/>
      </c>
      <c r="C19" s="7">
        <f>SUM(C6:C18)</f>
        <v/>
      </c>
      <c r="D19" s="7">
        <f>SUM(D6:D18)</f>
        <v/>
      </c>
      <c r="E19" s="7">
        <f>SUM(E6:E18)</f>
        <v/>
      </c>
      <c r="F19" s="7">
        <f>SUM(F6:F18)</f>
        <v/>
      </c>
      <c r="G19" s="8">
        <f>IF(B19=0,0,C19/B19)</f>
        <v/>
      </c>
    </row>
    <row r="21">
      <c r="A21" s="9" t="inlineStr">
        <is>
          <t>Вне общей статистики (ждут релиза):</t>
        </is>
      </c>
    </row>
    <row r="22">
      <c r="A22" s="10" t="inlineStr">
        <is>
          <t>14 Отложенные до релиза</t>
        </is>
      </c>
      <c r="B22" s="10" t="n">
        <v>13</v>
      </c>
      <c r="C22" s="10">
        <f>COUNTIF('14 Отложенные до релиза'!$K$2:$K$14,"Passed")</f>
        <v/>
      </c>
      <c r="D22" s="10">
        <f>COUNTIF('14 Отложенные до релиза'!$K$2:$K$14,"Failed")</f>
        <v/>
      </c>
      <c r="E22" s="10">
        <f>COUNTIF('14 Отложенные до релиза'!$K$2:$K$14,"Blocked")</f>
        <v/>
      </c>
      <c r="F22" s="10">
        <f>COUNTIF('14 Отложенные до релиза'!$K$2:$K$14,"Not Run")</f>
        <v/>
      </c>
      <c r="G22" s="11" t="inlineStr">
        <is>
          <t>—</t>
        </is>
      </c>
    </row>
    <row r="25">
      <c r="A25" s="12" t="inlineStr">
        <is>
          <t>Сверка рисков R-1…R-10 → тест-кейсы</t>
        </is>
      </c>
    </row>
    <row r="26">
      <c r="A26" s="13" t="inlineStr">
        <is>
          <t>Риск</t>
        </is>
      </c>
      <c r="B26" s="13" t="inlineStr">
        <is>
          <t>Что проверяем</t>
        </is>
      </c>
      <c r="C26" s="5" t="n"/>
      <c r="D26" s="5" t="n"/>
      <c r="E26" s="13" t="inlineStr">
        <is>
          <t>Покрывающие кейсы</t>
        </is>
      </c>
      <c r="F26" s="5" t="n"/>
      <c r="G26" s="5" t="n"/>
    </row>
    <row r="27" ht="32" customHeight="1">
      <c r="A27" s="14" t="inlineStr">
        <is>
          <t>R-1</t>
        </is>
      </c>
      <c r="B27" s="14" t="inlineStr">
        <is>
          <t>Утечка данных между клиентами</t>
        </is>
      </c>
      <c r="C27" s="14" t="n"/>
      <c r="D27" s="14" t="n"/>
      <c r="E27" s="14" t="inlineStr">
        <is>
          <t>TC-032–TC-038, TC-199, TC-215, TC-292, TC-349</t>
        </is>
      </c>
      <c r="F27" s="14" t="n"/>
      <c r="G27" s="14" t="n"/>
    </row>
    <row r="28" ht="32" customHeight="1">
      <c r="A28" s="14" t="inlineStr">
        <is>
          <t>R-2</t>
        </is>
      </c>
      <c r="B28" s="14" t="inlineStr">
        <is>
          <t>Дыры в правах доступа</t>
        </is>
      </c>
      <c r="C28" s="14" t="n"/>
      <c r="D28" s="14" t="n"/>
      <c r="E28" s="14" t="inlineStr">
        <is>
          <t>TC-021–TC-043, TC-208, TC-241, TC-327, TC-349</t>
        </is>
      </c>
      <c r="F28" s="14" t="n"/>
      <c r="G28" s="14" t="n"/>
    </row>
    <row r="29" ht="32" customHeight="1">
      <c r="A29" s="14" t="inlineStr">
        <is>
          <t>R-3</t>
        </is>
      </c>
      <c r="B29" s="14" t="inlineStr">
        <is>
          <t>Потеря данных при синхронизации с AmoCRM</t>
        </is>
      </c>
      <c r="C29" s="14" t="n"/>
      <c r="D29" s="14" t="n"/>
      <c r="E29" s="14" t="inlineStr">
        <is>
          <t>TC-181, TC-183–TC-197, TC-331</t>
        </is>
      </c>
      <c r="F29" s="14" t="n"/>
      <c r="G29" s="14" t="n"/>
    </row>
    <row r="30" ht="32" customHeight="1">
      <c r="A30" s="14" t="inlineStr">
        <is>
          <t>R-4</t>
        </is>
      </c>
      <c r="B30" s="14" t="inlineStr">
        <is>
          <t>Неверные данные от AI</t>
        </is>
      </c>
      <c r="C30" s="14" t="n"/>
      <c r="D30" s="14" t="n"/>
      <c r="E30" s="14" t="inlineStr">
        <is>
          <t>TC-152–TC-164</t>
        </is>
      </c>
      <c r="F30" s="14" t="n"/>
      <c r="G30" s="14" t="n"/>
    </row>
    <row r="31" ht="32" customHeight="1">
      <c r="A31" s="14" t="inlineStr">
        <is>
          <t>R-5</t>
        </is>
      </c>
      <c r="B31" s="14" t="inlineStr">
        <is>
          <t>Дефолтные учётные записи</t>
        </is>
      </c>
      <c r="C31" s="14" t="n"/>
      <c r="D31" s="14" t="n"/>
      <c r="E31" s="14" t="inlineStr">
        <is>
          <t>TC-008, TC-011, TC-337</t>
        </is>
      </c>
      <c r="F31" s="14" t="n"/>
      <c r="G31" s="14" t="n"/>
    </row>
    <row r="32" ht="32" customHeight="1">
      <c r="A32" s="14" t="inlineStr">
        <is>
          <t>R-6</t>
        </is>
      </c>
      <c r="B32" s="14" t="inlineStr">
        <is>
          <t>Молчаливая потеря звонков в AI-обработке</t>
        </is>
      </c>
      <c r="C32" s="14" t="n"/>
      <c r="D32" s="14" t="n"/>
      <c r="E32" s="14" t="inlineStr">
        <is>
          <t>TC-146–TC-151, TC-348</t>
        </is>
      </c>
      <c r="F32" s="14" t="n"/>
      <c r="G32" s="14" t="n"/>
    </row>
    <row r="33" ht="32" customHeight="1">
      <c r="A33" s="14" t="inlineStr">
        <is>
          <t>R-7</t>
        </is>
      </c>
      <c r="B33" s="14" t="inlineStr">
        <is>
          <t>Двойной обзвон одного лида</t>
        </is>
      </c>
      <c r="C33" s="14" t="n"/>
      <c r="D33" s="14" t="n"/>
      <c r="E33" s="14" t="inlineStr">
        <is>
          <t>TC-100–TC-104, TC-123, TC-139</t>
        </is>
      </c>
      <c r="F33" s="14" t="n"/>
      <c r="G33" s="14" t="n"/>
    </row>
    <row r="34" ht="32" customHeight="1">
      <c r="A34" s="14" t="inlineStr">
        <is>
          <t>R-8</t>
        </is>
      </c>
      <c r="B34" s="14" t="inlineStr">
        <is>
          <t>Автосинхронизация без подтверждения</t>
        </is>
      </c>
      <c r="C34" s="14" t="n"/>
      <c r="D34" s="14" t="n"/>
      <c r="E34" s="14" t="inlineStr">
        <is>
          <t>TC-131, TC-133–TC-135, TC-141</t>
        </is>
      </c>
      <c r="F34" s="14" t="n"/>
      <c r="G34" s="14" t="n"/>
    </row>
    <row r="35" ht="32" customHeight="1">
      <c r="A35" s="14" t="inlineStr">
        <is>
          <t>R-9</t>
        </is>
      </c>
      <c r="B35" s="14" t="inlineStr">
        <is>
          <t>Неверный жизненный счётчик попыток</t>
        </is>
      </c>
      <c r="C35" s="14" t="n"/>
      <c r="D35" s="14" t="n"/>
      <c r="E35" s="14" t="inlineStr">
        <is>
          <t>TC-084–TC-089, TC-334</t>
        </is>
      </c>
      <c r="F35" s="14" t="n"/>
      <c r="G35" s="14" t="n"/>
    </row>
    <row r="36" ht="32" customHeight="1">
      <c r="A36" s="14" t="inlineStr">
        <is>
          <t>R-10</t>
        </is>
      </c>
      <c r="B36" s="14" t="inlineStr">
        <is>
          <t>Тестовый фронт обращается к production</t>
        </is>
      </c>
      <c r="C36" s="14" t="n"/>
      <c r="D36" s="14" t="n"/>
      <c r="E36" s="14" t="inlineStr">
        <is>
          <t>TC-335, TC-336</t>
        </is>
      </c>
      <c r="F36" s="14" t="n"/>
      <c r="G36" s="14" t="n"/>
    </row>
  </sheetData>
  <mergeCells count="25">
    <mergeCell ref="E28:G28"/>
    <mergeCell ref="E31:G31"/>
    <mergeCell ref="E34:G34"/>
    <mergeCell ref="E30:G30"/>
    <mergeCell ref="B29:D29"/>
    <mergeCell ref="B34:D34"/>
    <mergeCell ref="B28:D28"/>
    <mergeCell ref="E36:G36"/>
    <mergeCell ref="E27:G27"/>
    <mergeCell ref="E26:G26"/>
    <mergeCell ref="B30:D30"/>
    <mergeCell ref="B33:D33"/>
    <mergeCell ref="E32:G32"/>
    <mergeCell ref="B36:D36"/>
    <mergeCell ref="B32:D32"/>
    <mergeCell ref="B35:D35"/>
    <mergeCell ref="B26:D26"/>
    <mergeCell ref="A25:G25"/>
    <mergeCell ref="E33:G33"/>
    <mergeCell ref="B31:D31"/>
    <mergeCell ref="A3:G3"/>
    <mergeCell ref="B27:D27"/>
    <mergeCell ref="A2:G2"/>
    <mergeCell ref="E35:G35"/>
    <mergeCell ref="E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83.19999999999999" customHeight="1">
      <c r="A2" s="16" t="inlineStr">
        <is>
          <t>TC-001</t>
        </is>
      </c>
      <c r="B2" s="14" t="inlineStr">
        <is>
          <t>Вход супер-админа с верными логином и паролем</t>
        </is>
      </c>
      <c r="C2" s="14" t="inlineStr">
        <is>
          <t>Проверяем, что сотрудник компании-владельца (супер-админ) может войти в систему и попадает на свой стартовый экран — список РОПов. Вход — «ворота» во всю систему, поэтому кейс критичный.</t>
        </is>
      </c>
      <c r="D2" s="14" t="inlineStr">
        <is>
          <t>Есть учётная запись супер-админа (логин и пароль — в .env, в кейсе не указываются).
Открыт браузер, никто не залогинен.</t>
        </is>
      </c>
      <c r="E2" s="14" t="inlineStr">
        <is>
          <t>1. Открой страницу входа (адрес стенда + /auth/jwt/sign-in).
2. В поле «Логин» (uz: Login) введи логин супер-админа.
3. В поле «Пароль» (uz: Parol) введи его пароль.
4. Нажми кнопку «Войти» (uz: Kirish).</t>
        </is>
      </c>
      <c r="F2" s="16" t="inlineStr">
        <is>
          <t>Critical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Вход выполнен. Открывается раздел «РОПы» (адрес /dashboard/rop) — таблица компаний РОП. В меню слева видны разделы «РОПы», «Лиды», «Тарифы».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56.8" customHeight="1">
      <c r="A3" s="16" t="inlineStr">
        <is>
          <t>TC-002</t>
        </is>
      </c>
      <c r="B3" s="14" t="inlineStr">
        <is>
          <t>Вход РОП с верными логином и паролем</t>
        </is>
      </c>
      <c r="C3" s="14" t="inlineStr">
        <is>
          <t>Проверяем вход руководителя отдела продаж (РОП) и что система приводит его на его стартовый экран — «Правила».</t>
        </is>
      </c>
      <c r="D3" s="14" t="inlineStr">
        <is>
          <t>Есть учётная запись РОП.
Никто не залогинен.</t>
        </is>
      </c>
      <c r="E3" s="14" t="inlineStr">
        <is>
          <t>1. Открой страницу входа.
2. Введи логин и пароль РОП.
3. Нажми «Войти» (uz: Kirish).</t>
        </is>
      </c>
      <c r="F3" s="16" t="inlineStr">
        <is>
          <t>Critical</t>
        </is>
      </c>
      <c r="G3" s="16" t="inlineStr">
        <is>
          <t>Позитивный</t>
        </is>
      </c>
      <c r="H3" s="16" t="inlineStr">
        <is>
          <t>UI</t>
        </is>
      </c>
      <c r="I3" s="14" t="inlineStr">
        <is>
          <t>Вход выполнен. Открывается раздел «Правила» (адрес /dashboard/dynamic-form). В меню слева: «Правила», «Операторы», «Настройка очереди», «Критерии», «Посещаемость».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83.19999999999999" customHeight="1">
      <c r="A4" s="16" t="inlineStr">
        <is>
          <t>TC-003</t>
        </is>
      </c>
      <c r="B4" s="14" t="inlineStr">
        <is>
          <t>Вход оператора с верными логином и паролем</t>
        </is>
      </c>
      <c r="C4" s="14" t="inlineStr">
        <is>
          <t>Проверяем вход оператора и его стартовый экран. ВНИМАНИЕ: по коду фронтенда оператора после входа ведут на «Звонки» (/dashboard/calls), а не на «Рабочий стол», как написано в старой документации. Код — источник правды.</t>
        </is>
      </c>
      <c r="D4" s="14" t="inlineStr">
        <is>
          <t>Есть учётная запись оператора.
Никто не залогинен.</t>
        </is>
      </c>
      <c r="E4" s="14" t="inlineStr">
        <is>
          <t>1. Открой страницу входа.
2. Введи логин и пароль оператора.
3. Нажми «Войти» (uz: Kirish).</t>
        </is>
      </c>
      <c r="F4" s="16" t="inlineStr">
        <is>
          <t>Critical</t>
        </is>
      </c>
      <c r="G4" s="16" t="inlineStr">
        <is>
          <t>Позитивный</t>
        </is>
      </c>
      <c r="H4" s="16" t="inlineStr">
        <is>
          <t>UI</t>
        </is>
      </c>
      <c r="I4" s="14" t="inlineStr">
        <is>
          <t>Вход выполнен. Открывается раздел «Звонки» (адрес /dashboard/calls) — таблица лидов. В меню слева: «Рабочий стол», «Режим звонков», «Звонки», «Рабочее время».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70" customHeight="1">
      <c r="A5" s="16" t="inlineStr">
        <is>
          <t>TC-004</t>
        </is>
      </c>
      <c r="B5" s="14" t="inlineStr">
        <is>
          <t>Вход с неверным паролем не пускает в систему</t>
        </is>
      </c>
      <c r="C5" s="14" t="inlineStr">
        <is>
          <t>Проверяем, что с неправильным паролем войти нельзя и человеку показывается понятное сообщение об ошибке.</t>
        </is>
      </c>
      <c r="D5" s="14" t="inlineStr">
        <is>
          <t>Есть любая действующая учётная запись.
Никто не залогинен.</t>
        </is>
      </c>
      <c r="E5" s="14" t="inlineStr">
        <is>
          <t>1. Открой страницу входа.
2. Введи существующий логин.
3. Введи заведомо неверный пароль (например, правильный + лишняя буква).
4. Нажми «Войти».</t>
        </is>
      </c>
      <c r="F5" s="16" t="inlineStr">
        <is>
          <t>Critical</t>
        </is>
      </c>
      <c r="G5" s="16" t="inlineStr">
        <is>
          <t>Негативный</t>
        </is>
      </c>
      <c r="H5" s="16" t="inlineStr">
        <is>
          <t>UI</t>
        </is>
      </c>
      <c r="I5" s="14" t="inlineStr">
        <is>
          <t>Вход НЕ выполнен. Над формой появляется красная плашка с сообщением об ошибке. Пользователь остаётся на странице входа. Пароль в поле не раскрывается.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70" customHeight="1">
      <c r="A6" s="16" t="inlineStr">
        <is>
          <t>TC-005</t>
        </is>
      </c>
      <c r="B6" s="14" t="inlineStr">
        <is>
          <t>Вход с несуществующим логином</t>
        </is>
      </c>
      <c r="C6" s="14" t="inlineStr">
        <is>
          <t>Проверяем реакцию на логин, которого нет в системе. Сообщение не должно подсказывать злоумышленнику, что именно неверно — логин или пароль.</t>
        </is>
      </c>
      <c r="D6" s="14" t="inlineStr">
        <is>
          <t>Никто не залогинен.</t>
        </is>
      </c>
      <c r="E6" s="14" t="inlineStr">
        <is>
          <t>1. Открой страницу входа.
2. Введи выдуманный логин, например «net-takogo-usera-123».
3. Введи любой пароль от 6 символов.
4. Нажми «Войти».</t>
        </is>
      </c>
      <c r="F6" s="16" t="inlineStr">
        <is>
          <t>High</t>
        </is>
      </c>
      <c r="G6" s="16" t="inlineStr">
        <is>
          <t>Негативный</t>
        </is>
      </c>
      <c r="H6" s="16" t="inlineStr">
        <is>
          <t>UI</t>
        </is>
      </c>
      <c r="I6" s="14" t="inlineStr">
        <is>
          <t>Вход НЕ выполнен, показано сообщение об ошибке. Формулировка ошибки одинаковая для случаев «нет такого логина» и «неверный пароль» (не выдаёт, какие логины существуют).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56.8" customHeight="1">
      <c r="A7" s="16" t="inlineStr">
        <is>
          <t>TC-006</t>
        </is>
      </c>
      <c r="B7" s="14" t="inlineStr">
        <is>
          <t>Пустые поля — форма подсказывает, что заполнить</t>
        </is>
      </c>
      <c r="C7" s="14" t="inlineStr">
        <is>
          <t>Проверяем подсказки формы при попытке войти, ничего не заполнив. Запрос на сервер при этом уходить не должен.</t>
        </is>
      </c>
      <c r="D7" s="14" t="inlineStr">
        <is>
          <t>Никто не залогинен.</t>
        </is>
      </c>
      <c r="E7" s="14" t="inlineStr">
        <is>
          <t>1. Открой страницу входа.
2. Ничего не вводи в поля.
3. Нажми «Войти».</t>
        </is>
      </c>
      <c r="F7" s="16" t="inlineStr">
        <is>
          <t>Medium</t>
        </is>
      </c>
      <c r="G7" s="16" t="inlineStr">
        <is>
          <t>Негативный</t>
        </is>
      </c>
      <c r="H7" s="16" t="inlineStr">
        <is>
          <t>UI</t>
        </is>
      </c>
      <c r="I7" s="14" t="inlineStr">
        <is>
          <t>Под полями появляются подсказки: «Введите логин!» (uz: Loginni kiriting!) и «Введите пароль!» (uz: Parolni kiriting!). Вход не выполняется.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83.19999999999999" customHeight="1">
      <c r="A8" s="16" t="inlineStr">
        <is>
          <t>TC-007</t>
        </is>
      </c>
      <c r="B8" s="14" t="inlineStr">
        <is>
          <t>Пароль короче 6 символов не отправляется</t>
        </is>
      </c>
      <c r="C8" s="14" t="inlineStr">
        <is>
          <t>Граничная проверка минимальной длины пароля на форме входа: 5 символов — ошибка, 6 символов — форма отправляет запрос (сервер уже сам решает, верный ли пароль).</t>
        </is>
      </c>
      <c r="D8" s="14" t="inlineStr">
        <is>
          <t>Никто не залогинен.</t>
        </is>
      </c>
      <c r="E8" s="14" t="inlineStr">
        <is>
          <t>1. Открой страницу входа.
2. Введи любой логин.
3. Введи пароль из 5 символов (например, «12345»). Нажми «Войти».
4. Теперь введи пароль из 6 символов (например, «123456»). Нажми «Войти».</t>
        </is>
      </c>
      <c r="F8" s="16" t="inlineStr">
        <is>
          <t>Medium</t>
        </is>
      </c>
      <c r="G8" s="16" t="inlineStr">
        <is>
          <t>Граничный</t>
        </is>
      </c>
      <c r="H8" s="16" t="inlineStr">
        <is>
          <t>UI</t>
        </is>
      </c>
      <c r="I8" s="14" t="inlineStr">
        <is>
          <t>Шаг 3: под полем подсказка «Пароль должен содержать не менее 6 символов!», запрос на сервер не уходит. Шаг 4: подсказки нет, форма отправляется (дальше — обычная ошибка «неверный пароль», это нормально).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83.19999999999999" customHeight="1">
      <c r="A9" s="16" t="inlineStr">
        <is>
          <t>TC-008</t>
        </is>
      </c>
      <c r="B9" s="14" t="inlineStr">
        <is>
          <t>Поля входа не предзаполнены логином и паролем</t>
        </is>
      </c>
      <c r="C9" s="14" t="inlineStr">
        <is>
          <t>Проверка безопасности (риск R-5, дефект Р-17). Раньше в форме входа были захардкожены учётные данные супер-админа — любой мог войти в один клик. По коду от 25.07 это исправлено. Подтверждаем на стенде.</t>
        </is>
      </c>
      <c r="D9" s="14" t="inlineStr">
        <is>
          <t>Никто не залогинен. Открой новое приватное окно браузера (Ctrl+Shift+N), чтобы исключить автозаполнение самим браузером.</t>
        </is>
      </c>
      <c r="E9" s="14" t="inlineStr">
        <is>
          <t>1. Открой страницу входа в приватном окне.
2. Посмотри на поля «Логин» и «Пароль», ничего не вводя.</t>
        </is>
      </c>
      <c r="F9" s="16" t="inlineStr">
        <is>
          <t>High</t>
        </is>
      </c>
      <c r="G9" s="16" t="inlineStr">
        <is>
          <t>Негативный</t>
        </is>
      </c>
      <c r="H9" s="16" t="inlineStr">
        <is>
          <t>UI</t>
        </is>
      </c>
      <c r="I9" s="14" t="inlineStr">
        <is>
          <t>Оба поля ПУСТЫЕ. Внутри — только серые подсказки-плейсхолдеры «логин» и «6+ символов». Никаких заранее подставленных логина и пароля нет.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56.8" customHeight="1">
      <c r="A10" s="16" t="inlineStr">
        <is>
          <t>TC-009</t>
        </is>
      </c>
      <c r="B10" s="14" t="inlineStr">
        <is>
          <t>Кнопка-глазок показывает и скрывает пароль</t>
        </is>
      </c>
      <c r="C10" s="14" t="inlineStr">
        <is>
          <t>Удобство: оператор должен иметь возможность проверить, что набрал, прежде чем нажать «Войти».</t>
        </is>
      </c>
      <c r="D10" s="14" t="inlineStr">
        <is>
          <t>Никто не залогинен.</t>
        </is>
      </c>
      <c r="E10" s="14" t="inlineStr">
        <is>
          <t>1. Открой страницу входа.
2. Введи в поле «Пароль» любой текст.
3. Нажми значок глаза в правом краю поля.
4. Нажми значок ещё раз.</t>
        </is>
      </c>
      <c r="F10" s="16" t="inlineStr">
        <is>
          <t>Low</t>
        </is>
      </c>
      <c r="G10" s="16" t="inlineStr">
        <is>
          <t>Позитивный</t>
        </is>
      </c>
      <c r="H10" s="16" t="inlineStr">
        <is>
          <t>UI</t>
        </is>
      </c>
      <c r="I10" s="14" t="inlineStr">
        <is>
          <t>После первого нажатия пароль виден обычным текстом, после второго — снова скрыт точками.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70" customHeight="1">
      <c r="A11" s="16" t="inlineStr">
        <is>
          <t>TC-010</t>
        </is>
      </c>
      <c r="B11" s="14" t="inlineStr">
        <is>
          <t>Выход из системы</t>
        </is>
      </c>
      <c r="C11" s="14" t="inlineStr">
        <is>
          <t>Проверяем, что «Выйти» действительно завершает сессию: вернуться в кабинет кнопкой «Назад» браузера нельзя.</t>
        </is>
      </c>
      <c r="D11" s="14" t="inlineStr">
        <is>
          <t>Выполнен вход под любой ролью.</t>
        </is>
      </c>
      <c r="E11" s="14" t="inlineStr">
        <is>
          <t>1. Нажми на свой аватар/имя в правом верхнем углу.
2. В открывшемся меню нажми «Выйти» (uz: Chiqish).
3. После возврата на страницу входа нажми кнопку «Назад» в браузере.
4. Обнови страницу (F5).</t>
        </is>
      </c>
      <c r="F11" s="16" t="inlineStr">
        <is>
          <t>High</t>
        </is>
      </c>
      <c r="G11" s="16" t="inlineStr">
        <is>
          <t>Позитивный</t>
        </is>
      </c>
      <c r="H11" s="16" t="inlineStr">
        <is>
          <t>UI</t>
        </is>
      </c>
      <c r="I11" s="14" t="inlineStr">
        <is>
          <t>После шага 2 открывается страница входа. Шаги 3–4: в кабинет вернуться нельзя — снова показывается страница входа, данные разделов не отображаются.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96.39999999999999" customHeight="1">
      <c r="A12" s="16" t="inlineStr">
        <is>
          <t>TC-011</t>
        </is>
      </c>
      <c r="B12" s="14" t="inlineStr">
        <is>
          <t>Защита от перебора: много неверных попыток подряд</t>
        </is>
      </c>
      <c r="C12" s="14" t="inlineStr">
        <is>
          <t>На вход стоит ограничение частоты запросов (по умолчанию 5 попыток в минуту с одного адреса). Проверяем, что после лишних попыток система временно блокирует вход, а через минуту снова пускает.</t>
        </is>
      </c>
      <c r="D12" s="14" t="inlineStr">
        <is>
          <t>Есть действующая учётная запись. Никто не залогинен.</t>
        </is>
      </c>
      <c r="E12" s="14" t="inlineStr">
        <is>
          <t>1. Открой страницу входа.
2. Введи существующий логин и неверный пароль. Нажми «Войти».
3. Повтори то же самое ещё 5 раз подряд, не делая пауз (всего 6 попыток).
4. Подожди чуть больше минуты и попробуй войти с ВЕРНЫМ паролем.</t>
        </is>
      </c>
      <c r="F12" s="16" t="inlineStr">
        <is>
          <t>Medium</t>
        </is>
      </c>
      <c r="G12" s="16" t="inlineStr">
        <is>
          <t>Негативный</t>
        </is>
      </c>
      <c r="H12" s="16" t="inlineStr">
        <is>
          <t>UI</t>
        </is>
      </c>
      <c r="I12" s="14" t="inlineStr">
        <is>
          <t>На 6-й попытке появляется ошибка об ограничении (слишком много запросов) — даже если бы пароль был верным. После паузы в минуту вход с верным паролем работает.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136" customHeight="1">
      <c r="A13" s="16" t="inlineStr">
        <is>
          <t>TC-012</t>
        </is>
      </c>
      <c r="B13" s="14" t="inlineStr">
        <is>
          <t>Деактивированный пользователь не может войти</t>
        </is>
      </c>
      <c r="C13" s="14" t="inlineStr">
        <is>
          <t>РОП отключает оператора (уволился) — вход для него должен закрыться, но его данные (звонки, история) должны остаться в системе.</t>
        </is>
      </c>
      <c r="D13" s="14" t="inlineStr">
        <is>
          <t>Вход под РОП. У РОП есть оператор, под которым можно безопасно экспериментировать (тестовый).</t>
        </is>
      </c>
      <c r="E13" s="14" t="inlineStr">
        <is>
          <t>1. Открой раздел «Операторы».
2. Найди строку тестового оператора, открой меню действий (⋮).
3. Нажми «Деактивировать» (uz: Deaktivatsiya).
4. Убедись, что появилось уведомление «Деактивировано» и статус в таблице сменился на «Неактивен».
5. Выйди из аккаунта РОП. Попробуй войти под этим оператором с его верным паролем.
6. Вернись под РОП и проверь, что история звонков оператора по-прежнему видна.</t>
        </is>
      </c>
      <c r="F13" s="16" t="inlineStr">
        <is>
          <t>Critical</t>
        </is>
      </c>
      <c r="G13" s="16" t="inlineStr">
        <is>
          <t>Негативный</t>
        </is>
      </c>
      <c r="H13" s="16" t="inlineStr">
        <is>
          <t>UI</t>
        </is>
      </c>
      <c r="I13" s="14" t="inlineStr">
        <is>
          <t>Шаг 5: вход НЕ выполняется, показано сообщение об ошибке. Шаг 6: данные оператора не пропали. После теста верни оператора кнопкой «Активировать».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96.39999999999999" customHeight="1">
      <c r="A14" s="16" t="inlineStr">
        <is>
          <t>TC-013</t>
        </is>
      </c>
      <c r="B14" s="14" t="inlineStr">
        <is>
          <t>Деактивация обрывает уже открытую сессию</t>
        </is>
      </c>
      <c r="C14" s="14" t="inlineStr">
        <is>
          <t>Связано с багом BUG-006: если оператора деактивировали, пока он работал, его открытая вкладка не должна продолжать работать бесконечно. Продление сессии деактивированному запрещено, поэтому доступ должен прекратиться не позже, чем истечёт краткосрочный токен (~15 минут).</t>
        </is>
      </c>
      <c r="D14" s="14" t="inlineStr">
        <is>
          <t>Два браузера (или обычное + приватное окно): в одном залогинен тестовый оператор, в другом — его РОП.</t>
        </is>
      </c>
      <c r="E14" s="14" t="inlineStr">
        <is>
          <t>1. В браузере №1 оператор работает (открыт раздел «Звонки»).
2. В браузере №2 РОП деактивирует этого оператора («Операторы» → меню действий → «Деактивировать»).
3. В браузере №1 продолжай пользоваться разделами и наблюдай до 20 минут.</t>
        </is>
      </c>
      <c r="F14" s="16" t="inlineStr">
        <is>
          <t>High</t>
        </is>
      </c>
      <c r="G14" s="16" t="inlineStr">
        <is>
          <t>Негативный</t>
        </is>
      </c>
      <c r="H14" s="16" t="inlineStr">
        <is>
          <t>UI</t>
        </is>
      </c>
      <c r="I14" s="14" t="inlineStr">
        <is>
          <t>Не позже чем через ~15–20 минут оператора выбрасывает на страницу входа (продление сессии отклонено). Если сессия живёт дольше и работает как ни в чём не бывало — это воспроизведение BUG-006, отметь в фактическом результате.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162.4" customHeight="1">
      <c r="A15" s="16" t="inlineStr">
        <is>
          <t>TC-014</t>
        </is>
      </c>
      <c r="B15" s="14" t="inlineStr">
        <is>
          <t>Смена своего пароля через меню аккаунта</t>
        </is>
      </c>
      <c r="C15" s="14" t="inlineStr">
        <is>
          <t>Оператор и РОП могут сменить свой пароль сами. Проверяем полный круг: смена → выход → старый пароль не работает → новый работает. Внимание: этот диалог в интерфейсе пока только на узбекском (не переведён).</t>
        </is>
      </c>
      <c r="D15" s="14" t="inlineStr">
        <is>
          <t>Вход под тестовым оператором (или РОП). Текущий пароль известен.</t>
        </is>
      </c>
      <c r="E15" s="14" t="inlineStr">
        <is>
          <t>1. Нажми на аватар в правом верхнем углу и выбери «Сменить пароль» (uz: Parolni o'zgartirish).
2. В поле «Eski parol» (старый пароль) введи текущий пароль.
3. В поле «Yangi parol» (новый пароль) введи новый пароль от 8 символов.
4. В поле «Yangi parolni takrorlang» (повтори новый пароль) введи его же.
5. Нажми «Saqlash» (Сохранить).
6. Выйди из системы и попробуй войти со СТАРЫМ паролем.
7. Затем войди с НОВЫМ паролем.</t>
        </is>
      </c>
      <c r="F15" s="16" t="inlineStr">
        <is>
          <t>High</t>
        </is>
      </c>
      <c r="G15" s="16" t="inlineStr">
        <is>
          <t>Позитивный</t>
        </is>
      </c>
      <c r="H15" s="16" t="inlineStr">
        <is>
          <t>UI</t>
        </is>
      </c>
      <c r="I15" s="14" t="inlineStr">
        <is>
          <t>Шаг 5: появляется уведомление «Parol yangilandi» (пароль обновлён), диалог закрывается. Шаг 6: вход со старым паролем НЕ работает. Шаг 7: вход с новым паролем работает. После теста верни исходный пароль.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83.19999999999999" customHeight="1">
      <c r="A16" s="16" t="inlineStr">
        <is>
          <t>TC-015</t>
        </is>
      </c>
      <c r="B16" s="14" t="inlineStr">
        <is>
          <t>Смена пароля с неверным старым паролем</t>
        </is>
      </c>
      <c r="C16" s="14" t="inlineStr">
        <is>
          <t>Старый пароль проверяется на сервере — без него сменить пароль нельзя (защита, если кто-то сел за чужой открытый компьютер).</t>
        </is>
      </c>
      <c r="D16" s="14" t="inlineStr">
        <is>
          <t>Вход под тестовым оператором.</t>
        </is>
      </c>
      <c r="E16" s="14" t="inlineStr">
        <is>
          <t>1. Открой диалог «Сменить пароль».
2. В поле старого пароля введи ЗАВЕДОМО НЕВЕРНЫЙ пароль (8+ символов).
3. Заполни новый пароль и его повтор одинаковыми значениями (8+ символов).
4. Нажми «Saqlash».</t>
        </is>
      </c>
      <c r="F16" s="16" t="inlineStr">
        <is>
          <t>High</t>
        </is>
      </c>
      <c r="G16" s="16" t="inlineStr">
        <is>
          <t>Негативный</t>
        </is>
      </c>
      <c r="H16" s="16" t="inlineStr">
        <is>
          <t>UI</t>
        </is>
      </c>
      <c r="I16" s="14" t="inlineStr">
        <is>
          <t>Пароль НЕ меняется, показывается сообщение об ошибке. Текущий пароль продолжает действовать (проверь повторным входом).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56.8" customHeight="1">
      <c r="A17" s="16" t="inlineStr">
        <is>
          <t>TC-016</t>
        </is>
      </c>
      <c r="B17" s="14" t="inlineStr">
        <is>
          <t>Новый пароль и повтор не совпадают</t>
        </is>
      </c>
      <c r="C17" s="14" t="inlineStr">
        <is>
          <t>Форма не должна давать сохранить пароль с опечаткой в повторе.</t>
        </is>
      </c>
      <c r="D17" s="14" t="inlineStr">
        <is>
          <t>Вход под тестовым оператором. Открыт диалог «Сменить пароль».</t>
        </is>
      </c>
      <c r="E17" s="14" t="inlineStr">
        <is>
          <t>1. Введи верный старый пароль.
2. В поле нового пароля введи «password123».
3. В поле повтора введи «password124» (отличается последним символом).</t>
        </is>
      </c>
      <c r="F17" s="16" t="inlineStr">
        <is>
          <t>Medium</t>
        </is>
      </c>
      <c r="G17" s="16" t="inlineStr">
        <is>
          <t>Негативный</t>
        </is>
      </c>
      <c r="H17" s="16" t="inlineStr">
        <is>
          <t>UI</t>
        </is>
      </c>
      <c r="I17" s="14" t="inlineStr">
        <is>
          <t>Под полем повтора появляется подсказка «Parollar mos kelmadi» (пароли не совпадают), кнопка «Saqlash» неактивна (серая) — сохранить нельзя.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83.19999999999999" customHeight="1">
      <c r="A18" s="16" t="inlineStr">
        <is>
          <t>TC-017</t>
        </is>
      </c>
      <c r="B18" s="14" t="inlineStr">
        <is>
          <t>Новый пароль короче 8 символов</t>
        </is>
      </c>
      <c r="C18" s="14" t="inlineStr">
        <is>
          <t>Граница минимальной длины нового пароля — 8 символов: 7 — ошибка, 8 — проходит. Заметь: на входе минимум 6, а здесь 8 — это разные проверки.</t>
        </is>
      </c>
      <c r="D18" s="14" t="inlineStr">
        <is>
          <t>Вход под тестовым оператором. Открыт диалог «Сменить пароль», старый пароль введён верно.</t>
        </is>
      </c>
      <c r="E18" s="14" t="inlineStr">
        <is>
          <t>1. Введи новый пароль из 7 символов (например, «1234567») и такой же повтор.
2. Посмотри на подсказки и кнопку «Saqlash».
3. Исправь новый пароль и повтор на 8 символов (например, «12345678»).
4. Нажми «Saqlash».</t>
        </is>
      </c>
      <c r="F18" s="16" t="inlineStr">
        <is>
          <t>Medium</t>
        </is>
      </c>
      <c r="G18" s="16" t="inlineStr">
        <is>
          <t>Граничный</t>
        </is>
      </c>
      <c r="H18" s="16" t="inlineStr">
        <is>
          <t>UI</t>
        </is>
      </c>
      <c r="I18" s="14" t="inlineStr">
        <is>
          <t>Шаг 2: подсказка «Yangi parol kamida 8 ta belgi bo'lsin» (минимум 8 символов), сохранить нельзя. Шаг 4: пароль сохраняется, уведомление «Parol yangilandi». После теста верни исходный пароль.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96.39999999999999" customHeight="1">
      <c r="A19" s="16" t="inlineStr">
        <is>
          <t>TC-018</t>
        </is>
      </c>
      <c r="B19" s="14" t="inlineStr">
        <is>
          <t>РОП сбрасывает пароль оператору</t>
        </is>
      </c>
      <c r="C19" s="14" t="inlineStr">
        <is>
          <t>Оператор забыл пароль. Восстановления «по ссылке на почту» в системе нет — пароль задаёт руководитель. Проверяем диалог «Сброс пароля».</t>
        </is>
      </c>
      <c r="D19" s="14" t="inlineStr">
        <is>
          <t>Вход под РОП. Есть тестовый оператор.</t>
        </is>
      </c>
      <c r="E19" s="14" t="inlineStr">
        <is>
          <t>1. Открой раздел «Операторы».
2. В строке тестового оператора открой меню действий (⋮) и нажми «Сбросить пароль».
3. В диалоге «Сброс пароля» введи «Новый пароль» (8+ символов) и «Повторите новый пароль».
4. Сохрани.
5. Выйди и войди под оператором с новым паролем.</t>
        </is>
      </c>
      <c r="F19" s="16" t="inlineStr">
        <is>
          <t>High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Шаг 4: уведомление «Пароль обновлён». Шаг 5: вход с новым паролем работает, со старым — нет.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70" customHeight="1">
      <c r="A20" s="16" t="inlineStr">
        <is>
          <t>TC-019</t>
        </is>
      </c>
      <c r="B20" s="14" t="inlineStr">
        <is>
          <t>Долгая работа без выхода: сессия продлевается незаметно</t>
        </is>
      </c>
      <c r="C20" s="14" t="inlineStr">
        <is>
          <t>Краткосрочный «пропуск» (токен) живёт 15 минут. Система должна продлевать его сама, не выбрасывая человека посреди работы.</t>
        </is>
      </c>
      <c r="D20" s="14" t="inlineStr">
        <is>
          <t>Вход под любой ролью.</t>
        </is>
      </c>
      <c r="E20" s="14" t="inlineStr">
        <is>
          <t>1. Открой любой раздел с данными (например, «Операторы»).
2. Оставь вкладку открытой на 20 минут, ничего не нажимая.
3. Вернись и перейди в другой раздел меню.</t>
        </is>
      </c>
      <c r="F20" s="16" t="inlineStr">
        <is>
          <t>Medium</t>
        </is>
      </c>
      <c r="G20" s="16" t="inlineStr">
        <is>
          <t>Позитивный</t>
        </is>
      </c>
      <c r="H20" s="16" t="inlineStr">
        <is>
          <t>UI</t>
        </is>
      </c>
      <c r="I20" s="14" t="inlineStr">
        <is>
          <t>Раздел открывается, данные загружаются. Повторный ввод логина и пароля НЕ требуется — продление произошло незаметно.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56.8" customHeight="1">
      <c r="A21" s="16" t="inlineStr">
        <is>
          <t>TC-020</t>
        </is>
      </c>
      <c r="B21" s="14" t="inlineStr">
        <is>
          <t>Двойное нажатие «Войти» не ломает вход</t>
        </is>
      </c>
      <c r="C21" s="14" t="inlineStr">
        <is>
          <t>Нетерпеливый пользователь может кликнуть кнопку дважды. Это не должно приводить к ошибке или двойному входу.</t>
        </is>
      </c>
      <c r="D21" s="14" t="inlineStr">
        <is>
          <t>Есть действующая учётная запись. Никто не залогинен.</t>
        </is>
      </c>
      <c r="E21" s="14" t="inlineStr">
        <is>
          <t>1. Открой страницу входа, введи верные логин и пароль.
2. Быстро нажми кнопку «Войти» два раза подряд.</t>
        </is>
      </c>
      <c r="F21" s="16" t="inlineStr">
        <is>
          <t>Low</t>
        </is>
      </c>
      <c r="G21" s="16" t="inlineStr">
        <is>
          <t>Негативный</t>
        </is>
      </c>
      <c r="H21" s="16" t="inlineStr">
        <is>
          <t>UI</t>
        </is>
      </c>
      <c r="I21" s="14" t="inlineStr">
        <is>
          <t>Выполняется один обычный вход. Во время обработки кнопка блокируется и показывает «Вход...» (uz: Kirilmoqda...). Ошибок на экране нет.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</sheetData>
  <autoFilter ref="A1:L21"/>
  <conditionalFormatting sqref="K2:K5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1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1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1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70" customHeight="1">
      <c r="A2" s="16" t="inlineStr">
        <is>
          <t>TC-021</t>
        </is>
      </c>
      <c r="B2" s="14" t="inlineStr">
        <is>
          <t>Меню супер-админа содержит только его разделы</t>
        </is>
      </c>
      <c r="C2" s="14" t="inlineStr">
        <is>
          <t>У каждой роли своё меню. Супер-админ управляет клиентами и тарифами, но НЕ должен видеть рабочие разделы РОП и оператора. Иерархии ролей в системе нет — доступ задан явными списками (риск R-2).</t>
        </is>
      </c>
      <c r="D2" s="14" t="inlineStr">
        <is>
          <t>Вход под супер-админом.</t>
        </is>
      </c>
      <c r="E2" s="14" t="inlineStr">
        <is>
          <t>1. Посмотри на меню слева.
2. Выпиши все пункты меню в фактический результат.</t>
        </is>
      </c>
      <c r="F2" s="16" t="inlineStr">
        <is>
          <t>High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В меню есть: «РОПы», «Лиды», «Тарифы». В меню НЕТ: «Правила», «Настройка очереди», «Критерии», «Посещаемость», «Режим звонков», «Рабочее время», «Рабочий стол».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56.8" customHeight="1">
      <c r="A3" s="16" t="inlineStr">
        <is>
          <t>TC-022</t>
        </is>
      </c>
      <c r="B3" s="14" t="inlineStr">
        <is>
          <t>Меню РОП содержит только его разделы</t>
        </is>
      </c>
      <c r="C3" s="14" t="inlineStr">
        <is>
          <t>РОП настраивает правила и управляет операторами, но не видит разделы супер-админа (клиенты, тарифы) и рабочие экраны оператора.</t>
        </is>
      </c>
      <c r="D3" s="14" t="inlineStr">
        <is>
          <t>Вход под РОП.</t>
        </is>
      </c>
      <c r="E3" s="14" t="inlineStr">
        <is>
          <t>1. Посмотри на меню слева.
2. Выпиши все пункты меню в фактический результат.</t>
        </is>
      </c>
      <c r="F3" s="16" t="inlineStr">
        <is>
          <t>High</t>
        </is>
      </c>
      <c r="G3" s="16" t="inlineStr">
        <is>
          <t>Позитивный</t>
        </is>
      </c>
      <c r="H3" s="16" t="inlineStr">
        <is>
          <t>UI</t>
        </is>
      </c>
      <c r="I3" s="14" t="inlineStr">
        <is>
          <t>В меню есть: «Правила», «Операторы», «Настройка очереди», «Критерии», «Посещаемость». В меню НЕТ: «РОПы», «Лиды», «Тарифы», «Режим звонков», «Рабочий стол», «Рабочее время».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70" customHeight="1">
      <c r="A4" s="16" t="inlineStr">
        <is>
          <t>TC-023</t>
        </is>
      </c>
      <c r="B4" s="14" t="inlineStr">
        <is>
          <t>Меню оператора содержит только его разделы</t>
        </is>
      </c>
      <c r="C4" s="14" t="inlineStr">
        <is>
          <t>Оператор звонит и подтверждает результаты. Управленческих разделов у него быть не должно.</t>
        </is>
      </c>
      <c r="D4" s="14" t="inlineStr">
        <is>
          <t>Вход под оператором.</t>
        </is>
      </c>
      <c r="E4" s="14" t="inlineStr">
        <is>
          <t>1. Посмотри на меню слева.
2. Выпиши все пункты меню в фактический результат.</t>
        </is>
      </c>
      <c r="F4" s="16" t="inlineStr">
        <is>
          <t>High</t>
        </is>
      </c>
      <c r="G4" s="16" t="inlineStr">
        <is>
          <t>Позитивный</t>
        </is>
      </c>
      <c r="H4" s="16" t="inlineStr">
        <is>
          <t>UI</t>
        </is>
      </c>
      <c r="I4" s="14" t="inlineStr">
        <is>
          <t>В меню есть: «Рабочий стол», «Режим звонков», «Звонки», «Рабочее время». В меню НЕТ: «РОПы», «Лиды», «Тарифы», «Правила», «Операторы», «Настройка очереди», «Критерии», «Посещаемость».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56.8" customHeight="1">
      <c r="A5" s="16" t="inlineStr">
        <is>
          <t>TC-024</t>
        </is>
      </c>
      <c r="B5" s="14" t="inlineStr">
        <is>
          <t>Оператор не открывает список РОПов по прямой ссылке</t>
        </is>
      </c>
      <c r="C5" s="14" t="inlineStr">
        <is>
          <t>Спрятать пункт меню — мало: раздел можно открыть, введя адрес руками. Проверяем защиту самого экрана (риск R-2).</t>
        </is>
      </c>
      <c r="D5" s="14" t="inlineStr">
        <is>
          <t>Вход под оператором.</t>
        </is>
      </c>
      <c r="E5" s="14" t="inlineStr">
        <is>
          <t>1. В адресной строке браузера введи адрес стенда + /dashboard/rop и нажми Enter.</t>
        </is>
      </c>
      <c r="F5" s="16" t="inlineStr">
        <is>
          <t>Critical</t>
        </is>
      </c>
      <c r="G5" s="16" t="inlineStr">
        <is>
          <t>Негативный</t>
        </is>
      </c>
      <c r="H5" s="16" t="inlineStr">
        <is>
          <t>UI</t>
        </is>
      </c>
      <c r="I5" s="14" t="inlineStr">
        <is>
          <t>Список РОПов НЕ показывается. Появляется заглушка «нет доступа» (или редирект на разрешённый раздел). Никакие данные таблицы не видны даже на долю секунды.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56.8" customHeight="1">
      <c r="A6" s="16" t="inlineStr">
        <is>
          <t>TC-025</t>
        </is>
      </c>
      <c r="B6" s="14" t="inlineStr">
        <is>
          <t>Оператор не открывает «Тарифы» и «Лиды» по прямой ссылке</t>
        </is>
      </c>
      <c r="C6" s="14" t="inlineStr">
        <is>
          <t>Продолжение проверки прямых ссылок для оператора: экраны супер-админа «Тарифы» (цены) и «Лиды» (заявки с сайта) должны быть закрыты.</t>
        </is>
      </c>
      <c r="D6" s="14" t="inlineStr">
        <is>
          <t>Вход под оператором.</t>
        </is>
      </c>
      <c r="E6" s="14" t="inlineStr">
        <is>
          <t>1. Введи в адресной строке адрес стенда + /dashboard/plans. Посмотри результат.
2. Введи адрес стенда + /dashboard/leads. Посмотри результат.</t>
        </is>
      </c>
      <c r="F6" s="16" t="inlineStr">
        <is>
          <t>Critical</t>
        </is>
      </c>
      <c r="G6" s="16" t="inlineStr">
        <is>
          <t>Негативный</t>
        </is>
      </c>
      <c r="H6" s="16" t="inlineStr">
        <is>
          <t>UI</t>
        </is>
      </c>
      <c r="I6" s="14" t="inlineStr">
        <is>
          <t>Оба раздела НЕ открываются — заглушка «нет доступа», данных не видно.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56.8" customHeight="1">
      <c r="A7" s="16" t="inlineStr">
        <is>
          <t>TC-026</t>
        </is>
      </c>
      <c r="B7" s="14" t="inlineStr">
        <is>
          <t>РОП не открывает разделы супер-админа по прямой ссылке</t>
        </is>
      </c>
      <c r="C7" s="14" t="inlineStr">
        <is>
          <t>РОП — это клиент компании. Список всех клиентов, заявки с сайта и управление тарифами — коммерческая информация владельца платформы.</t>
        </is>
      </c>
      <c r="D7" s="14" t="inlineStr">
        <is>
          <t>Вход под РОП.</t>
        </is>
      </c>
      <c r="E7" s="14" t="inlineStr">
        <is>
          <t>1. Введи в адресной строке адрес стенда + /dashboard/rop.
2. Затем /dashboard/leads.
3. Затем /dashboard/plans.</t>
        </is>
      </c>
      <c r="F7" s="16" t="inlineStr">
        <is>
          <t>Critical</t>
        </is>
      </c>
      <c r="G7" s="16" t="inlineStr">
        <is>
          <t>Негативный</t>
        </is>
      </c>
      <c r="H7" s="16" t="inlineStr">
        <is>
          <t>UI</t>
        </is>
      </c>
      <c r="I7" s="14" t="inlineStr">
        <is>
          <t>Ни один из трёх разделов не открывается — везде заглушка «нет доступа», данные не показываются.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70" customHeight="1">
      <c r="A8" s="16" t="inlineStr">
        <is>
          <t>TC-027</t>
        </is>
      </c>
      <c r="B8" s="14" t="inlineStr">
        <is>
          <t>РОП не открывает рабочие экраны оператора</t>
        </is>
      </c>
      <c r="C8" s="14" t="inlineStr">
        <is>
          <t>«Режим звонков» и «Рабочее время» — личные рабочие экраны оператора. РОП управляет, но не звонит; его вход в режим обзвона мог бы захватить лида и сломать очередь.</t>
        </is>
      </c>
      <c r="D8" s="14" t="inlineStr">
        <is>
          <t>Вход под РОП.</t>
        </is>
      </c>
      <c r="E8" s="14" t="inlineStr">
        <is>
          <t>1. Введи в адресной строке адрес стенда + /dashboard/calling.
2. Затем /dashboard/work.
3. Затем /dashboard/home.</t>
        </is>
      </c>
      <c r="F8" s="16" t="inlineStr">
        <is>
          <t>High</t>
        </is>
      </c>
      <c r="G8" s="16" t="inlineStr">
        <is>
          <t>Негативный</t>
        </is>
      </c>
      <c r="H8" s="16" t="inlineStr">
        <is>
          <t>UI</t>
        </is>
      </c>
      <c r="I8" s="14" t="inlineStr">
        <is>
          <t>Ни один экран не открывается — заглушка «нет доступа». Лид из очереди НЕ захвачен (в /dashboard/calling даже счётчик очереди не должен отработать).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83.19999999999999" customHeight="1">
      <c r="A9" s="16" t="inlineStr">
        <is>
          <t>TC-028</t>
        </is>
      </c>
      <c r="B9" s="14" t="inlineStr">
        <is>
          <t>Супер-админ не открывает экраны РОП</t>
        </is>
      </c>
      <c r="C9" s="14" t="inlineStr">
        <is>
          <t>Важная особенность системы: супер-админ НЕ «выше всех» — у него нет доступа к настройкам РОП. Проверяем, что список доступа нигде не расширен по ошибке.</t>
        </is>
      </c>
      <c r="D9" s="14" t="inlineStr">
        <is>
          <t>Вход под супер-админом.</t>
        </is>
      </c>
      <c r="E9" s="14" t="inlineStr">
        <is>
          <t>1. Введи в адресной строке адрес стенда + /dashboard/dynamic-form (Правила).
2. Затем /dashboard/mezonlar (Критерии).
3. Затем /dashboard/operator-pipelines (Настройка очереди).
4. Затем /dashboard/attendance (Посещаемость).</t>
        </is>
      </c>
      <c r="F9" s="16" t="inlineStr">
        <is>
          <t>High</t>
        </is>
      </c>
      <c r="G9" s="16" t="inlineStr">
        <is>
          <t>Негативный</t>
        </is>
      </c>
      <c r="H9" s="16" t="inlineStr">
        <is>
          <t>UI</t>
        </is>
      </c>
      <c r="I9" s="14" t="inlineStr">
        <is>
          <t>Ни один из четырёх разделов не открывается — везде заглушка «нет доступа».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70" customHeight="1">
      <c r="A10" s="16" t="inlineStr">
        <is>
          <t>TC-029</t>
        </is>
      </c>
      <c r="B10" s="14" t="inlineStr">
        <is>
          <t>Супер-админ не открывает рабочие экраны оператора</t>
        </is>
      </c>
      <c r="C10" s="14" t="inlineStr">
        <is>
          <t>Аналогично TC-028 — но для экранов оператора: режим обзвона, смена, рабочий стол, таблица лидов.</t>
        </is>
      </c>
      <c r="D10" s="14" t="inlineStr">
        <is>
          <t>Вход под супер-админом.</t>
        </is>
      </c>
      <c r="E10" s="14" t="inlineStr">
        <is>
          <t>1. Введи в адресной строке адрес стенда + /dashboard/calling.
2. Затем /dashboard/calls (таблица лидов оператора).
3. Затем /dashboard/work.
4. Затем /dashboard/home.</t>
        </is>
      </c>
      <c r="F10" s="16" t="inlineStr">
        <is>
          <t>High</t>
        </is>
      </c>
      <c r="G10" s="16" t="inlineStr">
        <is>
          <t>Негативный</t>
        </is>
      </c>
      <c r="H10" s="16" t="inlineStr">
        <is>
          <t>UI</t>
        </is>
      </c>
      <c r="I10" s="14" t="inlineStr">
        <is>
          <t>Ни один экран не открывается — заглушка «нет доступа». Лид из очереди не захвачен.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56.8" customHeight="1">
      <c r="A11" s="16" t="inlineStr">
        <is>
          <t>TC-030</t>
        </is>
      </c>
      <c r="B11" s="14" t="inlineStr">
        <is>
          <t>Незалогиненный гость всегда попадает на страницу входа</t>
        </is>
      </c>
      <c r="C11" s="14" t="inlineStr">
        <is>
          <t>Любой внутренний адрес системы без входа должен вести на форму логина, а не показывать данные.</t>
        </is>
      </c>
      <c r="D11" s="14" t="inlineStr">
        <is>
          <t>Никто не залогинен (новое приватное окно браузера).</t>
        </is>
      </c>
      <c r="E11" s="14" t="inlineStr">
        <is>
          <t>1. Введи в адресной строке адрес стенда + /dashboard/calls.
2. Затем /dashboard/rop.
3. Затем /dashboard/mezonlar.</t>
        </is>
      </c>
      <c r="F11" s="16" t="inlineStr">
        <is>
          <t>Critical</t>
        </is>
      </c>
      <c r="G11" s="16" t="inlineStr">
        <is>
          <t>Негативный</t>
        </is>
      </c>
      <c r="H11" s="16" t="inlineStr">
        <is>
          <t>UI</t>
        </is>
      </c>
      <c r="I11" s="14" t="inlineStr">
        <is>
          <t>Во всех трёх случаях открывается страница входа. Никакие данные разделов не мелькают до редиректа.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83.19999999999999" customHeight="1">
      <c r="A12" s="16" t="inlineStr">
        <is>
          <t>TC-031</t>
        </is>
      </c>
      <c r="B12" s="14" t="inlineStr">
        <is>
          <t>Супер-админ не может править операторов чужого РОП</t>
        </is>
      </c>
      <c r="C12" s="14" t="inlineStr">
        <is>
          <t>По требованию доступ супер-админа к операторам РОП — «только просмотр». Но таблица операторов у него та же, что у РОП, и кнопки действий в ней технически есть (находка из анализа кода, риск R-2). Проверяем, что сервер отклоняет изменения.</t>
        </is>
      </c>
      <c r="D12" s="14" t="inlineStr">
        <is>
          <t>Вход под супер-админом. У тестового РОП есть тестовый оператор.</t>
        </is>
      </c>
      <c r="E12" s="14" t="inlineStr">
        <is>
          <t>1. Открой «РОПы», нажми на строку тестового РОП — откроется его карточка со списком операторов.
2. Попробуй найти у оператора действия «Редактировать» / «Деактивировать» / «Сбросить пароль».
3. Если действия доступны — попробуй изменить у оператора имя и сохранить.</t>
        </is>
      </c>
      <c r="F12" s="16" t="inlineStr">
        <is>
          <t>High</t>
        </is>
      </c>
      <c r="G12" s="16" t="inlineStr">
        <is>
          <t>Негативный</t>
        </is>
      </c>
      <c r="H12" s="16" t="inlineStr">
        <is>
          <t>UI</t>
        </is>
      </c>
      <c r="I12" s="14" t="inlineStr">
        <is>
          <t>Идеально: действий редактирования нет вообще (только просмотр). Допустимо: действия видны, но сервер отвечает отказом и данные не меняются. Если изменение ПРОШЛО — это дефект прав (R-2), фиксируй как баг.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56.8" customHeight="1">
      <c r="A13" s="16" t="inlineStr">
        <is>
          <t>TC-032</t>
        </is>
      </c>
      <c r="B13" s="14" t="inlineStr">
        <is>
          <t>РОП-А не видит операторов РОП-Б</t>
        </is>
      </c>
      <c r="C13" s="14" t="inlineStr">
        <is>
          <t>Главная проверка изоляции клиентов (риск R-1 — критический). Два разных клиента платформы не должны видеть данные друг друга.</t>
        </is>
      </c>
      <c r="D13" s="14" t="inlineStr">
        <is>
          <t>На стенде есть два РОП: РОП-А и РОП-Б, у каждого хотя бы один оператор. Логины обоих известны QA.</t>
        </is>
      </c>
      <c r="E13" s="14" t="inlineStr">
        <is>
          <t>1. Войди под РОП-А, открой «Операторы».
2. Выпиши список операторов.
3. Выйди, войди под РОП-Б, открой «Операторы».
4. Сравни списки.</t>
        </is>
      </c>
      <c r="F13" s="16" t="inlineStr">
        <is>
          <t>Critical</t>
        </is>
      </c>
      <c r="G13" s="16" t="inlineStr">
        <is>
          <t>Негативный</t>
        </is>
      </c>
      <c r="H13" s="16" t="inlineStr">
        <is>
          <t>UI</t>
        </is>
      </c>
      <c r="I13" s="14" t="inlineStr">
        <is>
          <t>Каждый РОП видит ТОЛЬКО своих операторов. Ни одного пересечения между списками нет.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70" customHeight="1">
      <c r="A14" s="16" t="inlineStr">
        <is>
          <t>TC-033</t>
        </is>
      </c>
      <c r="B14" s="14" t="inlineStr">
        <is>
          <t>РОП-А не открывает карточку оператора РОП-Б по прямой ссылке</t>
        </is>
      </c>
      <c r="C14" s="14" t="inlineStr">
        <is>
          <t>Изоляция должна работать и для прямых ссылок с чужим номером (ID) в адресе — самый частый способ «дыры»: перебор чисел в адресной строке.</t>
        </is>
      </c>
      <c r="D14" s="14" t="inlineStr">
        <is>
          <t>Известен ID оператора РОП-Б (виден в адресе его карточки при входе под РОП-Б: /dashboard/operators/НОМЕР). Вход под РОП-А.</t>
        </is>
      </c>
      <c r="E14" s="14" t="inlineStr">
        <is>
          <t>1. Введи в адресной строке адрес стенда + /dashboard/operators/НОМЕР-оператора-РОП-Б.
2. Затем открой /dashboard/operators/НОМЕР/calls (звонки этого оператора).</t>
        </is>
      </c>
      <c r="F14" s="16" t="inlineStr">
        <is>
          <t>Critical</t>
        </is>
      </c>
      <c r="G14" s="16" t="inlineStr">
        <is>
          <t>Негативный</t>
        </is>
      </c>
      <c r="H14" s="16" t="inlineStr">
        <is>
          <t>UI</t>
        </is>
      </c>
      <c r="I14" s="14" t="inlineStr">
        <is>
          <t>Карточка чужого оператора НЕ открывается: «нет доступа», «не найдено» или пустая страница без данных. Имя, зарплата, звонки чужого оператора не видны.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70" customHeight="1">
      <c r="A15" s="16" t="inlineStr">
        <is>
          <t>TC-034</t>
        </is>
      </c>
      <c r="B15" s="14" t="inlineStr">
        <is>
          <t>Оператор видит только лиды воронок своего РОП</t>
        </is>
      </c>
      <c r="C15" s="14" t="inlineStr">
        <is>
          <t>Таблица «Звонки» оператора — это сделки из AmoCRM его компании. Лиды другой компании (РОП-Б) появляться не должны (риск R-1).</t>
        </is>
      </c>
      <c r="D15" s="14" t="inlineStr">
        <is>
          <t>У РОП-А и РОП-Б настроены свои AmoCRM с разными лидами. Известно несколько названий лидов РОП-Б. Вход под оператором РОП-А.</t>
        </is>
      </c>
      <c r="E15" s="14" t="inlineStr">
        <is>
          <t>1. Открой раздел «Звонки».
2. Просмотри таблицу (пролистай все страницы или используй поиск).
3. Поищи названия лидов, принадлежащих РОП-Б.</t>
        </is>
      </c>
      <c r="F15" s="16" t="inlineStr">
        <is>
          <t>Critical</t>
        </is>
      </c>
      <c r="G15" s="16" t="inlineStr">
        <is>
          <t>Негативный</t>
        </is>
      </c>
      <c r="H15" s="16" t="inlineStr">
        <is>
          <t>UI</t>
        </is>
      </c>
      <c r="I15" s="14" t="inlineStr">
        <is>
          <t>Лиды РОП-Б в таблице отсутствуют. Видны только лиды воронок, назначенных этому оператору его РОП.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70" customHeight="1">
      <c r="A16" s="16" t="inlineStr">
        <is>
          <t>TC-035</t>
        </is>
      </c>
      <c r="B16" s="14" t="inlineStr">
        <is>
          <t>Оператор не открывает чужую карточку звонка по прямой ссылке</t>
        </is>
      </c>
      <c r="C16" s="14" t="inlineStr">
        <is>
          <t>Карточка звонка содержит запись разговора и данные клиента. Подстановка чужого номера события в адрес не должна открывать чужой звонок.</t>
        </is>
      </c>
      <c r="D16" s="14" t="inlineStr">
        <is>
          <t>Известен адрес карточки звонка оператора РОП-Б (/dashboard/calls/НОМЕР — виден при входе под РОП-Б). Вход под оператором РОП-А.</t>
        </is>
      </c>
      <c r="E16" s="14" t="inlineStr">
        <is>
          <t>1. Введи в адресной строке адрес чужой карточки звонка.
2. Если открылось что-то — попробуй нажать на запись разговора и транскрипцию.</t>
        </is>
      </c>
      <c r="F16" s="16" t="inlineStr">
        <is>
          <t>Critical</t>
        </is>
      </c>
      <c r="G16" s="16" t="inlineStr">
        <is>
          <t>Негативный</t>
        </is>
      </c>
      <c r="H16" s="16" t="inlineStr">
        <is>
          <t>UI</t>
        </is>
      </c>
      <c r="I16" s="14" t="inlineStr">
        <is>
          <t>Чужая карточка не открывается: «нет доступа» / «не найдено». Аудиозапись и текст разговора чужой компании недоступны.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70" customHeight="1">
      <c r="A17" s="16" t="inlineStr">
        <is>
          <t>TC-036</t>
        </is>
      </c>
      <c r="B17" s="14" t="inlineStr">
        <is>
          <t>РОП-А не видит настройки и воронку РОП-Б</t>
        </is>
      </c>
      <c r="C17" s="14" t="inlineStr">
        <is>
          <t>Правила («Правила»), настройки очереди («Критерии») и привязка воронок — у каждого РОП свои. Проверяем, что экраны РОП-А показывают только его данные.</t>
        </is>
      </c>
      <c r="D17" s="14" t="inlineStr">
        <is>
          <t>У РОП-А и РОП-Б подключены разные AmoCRM (разные воронки, названия известны). Вход под РОП-А.</t>
        </is>
      </c>
      <c r="E17" s="14" t="inlineStr">
        <is>
          <t>1. Открой «Правила». Посмотри название воронки и список статусов.
2. Открой «Настройка очереди». Посмотри список воронок и операторов.
3. Открой «Критерии». Посмотри значения настроек.</t>
        </is>
      </c>
      <c r="F17" s="16" t="inlineStr">
        <is>
          <t>Critical</t>
        </is>
      </c>
      <c r="G17" s="16" t="inlineStr">
        <is>
          <t>Негативный</t>
        </is>
      </c>
      <c r="H17" s="16" t="inlineStr">
        <is>
          <t>UI</t>
        </is>
      </c>
      <c r="I17" s="14" t="inlineStr">
        <is>
          <t>Везде — только воронки, статусы и операторы РОП-А. Названия воронок РОП-Б нигде не встречаются.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43.59999999999999" customHeight="1">
      <c r="A18" s="16" t="inlineStr">
        <is>
          <t>TC-037</t>
        </is>
      </c>
      <c r="B18" s="14" t="inlineStr">
        <is>
          <t>РОП-А не видит посещаемость операторов РОП-Б</t>
        </is>
      </c>
      <c r="C18" s="14" t="inlineStr">
        <is>
          <t>Экран «Посещаемость» показывает смены и перерывы операторов. Данные чужой компании — закрыты.</t>
        </is>
      </c>
      <c r="D18" s="14" t="inlineStr">
        <is>
          <t>Вход под РОП-А. У РОП-Б есть операторы со сменами.</t>
        </is>
      </c>
      <c r="E18" s="14" t="inlineStr">
        <is>
          <t>1. Открой «Посещаемость».
2. Просмотри список операторов за текущую неделю.</t>
        </is>
      </c>
      <c r="F18" s="16" t="inlineStr">
        <is>
          <t>High</t>
        </is>
      </c>
      <c r="G18" s="16" t="inlineStr">
        <is>
          <t>Негативный</t>
        </is>
      </c>
      <c r="H18" s="16" t="inlineStr">
        <is>
          <t>UI</t>
        </is>
      </c>
      <c r="I18" s="14" t="inlineStr">
        <is>
          <t>В списке — только операторы РОП-А. Операторов РОП-Б нет.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70" customHeight="1">
      <c r="A19" s="16" t="inlineStr">
        <is>
          <t>TC-038</t>
        </is>
      </c>
      <c r="B19" s="14" t="inlineStr">
        <is>
          <t>Транскрипция чужого звонка недоступна по прямой ссылке</t>
        </is>
      </c>
      <c r="C19" s="14" t="inlineStr">
        <is>
          <t>Экран транскрипции доступен всем трём ролям, поэтому изоляция здесь держится только на проверке компании на сервере. Подстановка чужих номеров в адрес не должна открывать текст чужого разговора.</t>
        </is>
      </c>
      <c r="D19" s="14" t="inlineStr">
        <is>
          <t>Известен полный адрес транскрипции звонка РОП-Б (/dashboard/calls/НОМЕР/transcript/НОМЕР). Вход под оператором РОП-А.</t>
        </is>
      </c>
      <c r="E19" s="14" t="inlineStr">
        <is>
          <t>1. Введи в адресной строке адрес чужой транскрипции.</t>
        </is>
      </c>
      <c r="F19" s="16" t="inlineStr">
        <is>
          <t>High</t>
        </is>
      </c>
      <c r="G19" s="16" t="inlineStr">
        <is>
          <t>Негативный</t>
        </is>
      </c>
      <c r="H19" s="16" t="inlineStr">
        <is>
          <t>UI</t>
        </is>
      </c>
      <c r="I19" s="14" t="inlineStr">
        <is>
          <t>Текст разговора НЕ показывается: «нет доступа» / «не найдено» / пустая страница.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56.8" customHeight="1">
      <c r="A20" s="16" t="inlineStr">
        <is>
          <t>TC-039</t>
        </is>
      </c>
      <c r="B20" s="14" t="inlineStr">
        <is>
          <t>После выхода кнопка «Назад» не показывает данные</t>
        </is>
      </c>
      <c r="C20" s="14" t="inlineStr">
        <is>
          <t>Человек вышел из системы за общим компьютером. Следующий за компьютером не должен увидеть данные через историю браузера.</t>
        </is>
      </c>
      <c r="D20" s="14" t="inlineStr">
        <is>
          <t>Вход под РОП, открыт раздел «Операторы» (таблица с данными).</t>
        </is>
      </c>
      <c r="E20" s="14" t="inlineStr">
        <is>
          <t>1. Выйди из системы (аватар → «Выйти»).
2. Нажми кнопку «Назад» в браузере.
3. Если что-то показалось — нажми F5.</t>
        </is>
      </c>
      <c r="F20" s="16" t="inlineStr">
        <is>
          <t>Medium</t>
        </is>
      </c>
      <c r="G20" s="16" t="inlineStr">
        <is>
          <t>Негативный</t>
        </is>
      </c>
      <c r="H20" s="16" t="inlineStr">
        <is>
          <t>UI</t>
        </is>
      </c>
      <c r="I20" s="14" t="inlineStr">
        <is>
          <t>Таблица операторов не отображается — показывается страница входа. Допустимо мгновенное появление «скелета» страницы без данных, но не самих данных.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122.8" customHeight="1">
      <c r="A21" s="16" t="inlineStr">
        <is>
          <t>TC-040</t>
        </is>
      </c>
      <c r="B21" s="14" t="inlineStr">
        <is>
          <t>API: запрос без токена отклоняется (401)</t>
        </is>
      </c>
      <c r="C21" s="14" t="inlineStr">
        <is>
          <t>Каждый запрос к API должен предъявлять «пропуск» (токен). Проверяем, что без него сервер отвечает отказом 401 и не отдаёт данные. Что делает команда ниже: curl — это программа, которая отправляет запрос на сервер, как это делает браузер, только из командной строки. Мы просим у сервера список пользователей, не представившись.</t>
        </is>
      </c>
      <c r="D21" s="14" t="inlineStr">
        <is>
          <t>Известен адрес бэкенда тестового стенда ({STAGE_API_URL} — взять из .env, переменная с URL стенда). Установлен curl (в Windows 10/11 уже встроен: открой «Терминал»).</t>
        </is>
      </c>
      <c r="E21" s="14" t="inlineStr">
        <is>
          <t>1. Открой терминал (Windows: Win+R → cmd → Enter).
2. Вставь команду, заменив {STAGE_API_URL} на адрес стенда, и нажми Enter:
   curl -i {STAGE_API_URL}/v1/users
3. Посмотри первую строку ответа — в ней код (например, «HTTP/1.1 401 Unauthorized»).
4. Просмотри остальной ответ: в нём не должно быть списка людей (имён, логинов).</t>
        </is>
      </c>
      <c r="F21" s="16" t="inlineStr">
        <is>
          <t>Critical</t>
        </is>
      </c>
      <c r="G21" s="16" t="inlineStr">
        <is>
          <t>Негативный</t>
        </is>
      </c>
      <c r="H21" s="16" t="inlineStr">
        <is>
          <t>API</t>
        </is>
      </c>
      <c r="I21" s="14" t="inlineStr">
        <is>
          <t>Код ответа — 401 (Unauthorized, «не представился»). В теле ответа — только сообщение об ошибке, никаких данных пользователей.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254.8" customHeight="1">
      <c r="A22" s="16" t="inlineStr">
        <is>
          <t>TC-041</t>
        </is>
      </c>
      <c r="B22" s="14" t="inlineStr">
        <is>
          <t>API: оператор не может создать РОП</t>
        </is>
      </c>
      <c r="C22" s="14" t="inlineStr">
        <is>
          <t>Создание РОП — операция супер-админа. Проверяем на уровне API, что сервер отклонит её с токеном оператора: интерфейс кнопку прячет, но запрос можно отправить и напрямую — защита должна быть на сервере (риск R-2). Сначала получаем токен оператора (шаг 2), потом пробуем создать РОП (шаг 4).</t>
        </is>
      </c>
      <c r="D22" s="14" t="inlineStr">
        <is>
          <t>Известны {STAGE_API_URL} и логин/пароль ТЕСТОВОГО оператора (из .env). Терминал с curl.</t>
        </is>
      </c>
      <c r="E22" s="14" t="inlineStr">
        <is>
          <t>1. Открой терминал.
2. Получи токен оператора — отправь свой логин и пароль (подставь свои значения):
   curl -s -X POST {STAGE_API_URL}/v1/auth/login -H "Content-Type: application/json" -d "{\"username\":\"ЛОГИН_ОПЕРАТОРА\",\"password\":\"ПАРОЛЬ\"}"
3. В ответе найди поле access_token и скопируй длинную строку в кавычках после него — это и есть «пропуск» на ближайшие 15 минут.
4. Попробуй создать РОП с этим пропуском (вставь скопированный токен вместо ТОКЕН):
   curl -i -X POST {STAGE_API_URL}/v1/rops -H "Authorization: Bearer ТОКЕН" -H "Content-Type: application/json" -d "{\"username\":\"qa-test-rop-tc042\",\"password\":\"qa-test-12345\",\"first_name\":\"QA\",\"last_name\":\"Test\",\"company_name\":\"QA Test TC-042\"}"
5. Посмотри код в первой строке ответа.
6. Войди в админку под супер-админом и проверь раздел «РОПы»: компания «QA Test TC-042» появиться НЕ должна.</t>
        </is>
      </c>
      <c r="F22" s="16" t="inlineStr">
        <is>
          <t>Critical</t>
        </is>
      </c>
      <c r="G22" s="16" t="inlineStr">
        <is>
          <t>Негативный</t>
        </is>
      </c>
      <c r="H22" s="16" t="inlineStr">
        <is>
          <t>API</t>
        </is>
      </c>
      <c r="I22" s="14" t="inlineStr">
        <is>
          <t>Шаг 4: код ответа 403 (Forbidden, «нет прав») — не 200 и не 201. Шаг 6: новый РОП в списке не появился. Если появился — критический дефект прав, заводим баг немедленно.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109.6" customHeight="1">
      <c r="A23" s="16" t="inlineStr">
        <is>
          <t>TC-042</t>
        </is>
      </c>
      <c r="B23" s="14" t="inlineStr">
        <is>
          <t>API: РОП-А не читает данные оператора РОП-Б</t>
        </is>
      </c>
      <c r="C23" s="14" t="inlineStr">
        <is>
          <t>Изоляция клиентов на уровне API (риск R-1). Даже зная внутренний номер (ID) чужого оператора, РОП-А не должен получить его данные запросом напрямую — интерфейс это скрывает, но сервер должен проверять принадлежность сам.</t>
        </is>
      </c>
      <c r="D23" s="14" t="inlineStr">
        <is>
          <t>Известны {STAGE_API_URL}, логин/пароль РОП-А и ID любого оператора РОП-Б (ID виден в адресной строке карточки оператора при входе под РОП-Б: /dashboard/operators/ЭТОТ-ДЛИННЫЙ-НОМЕР).</t>
        </is>
      </c>
      <c r="E23" s="14" t="inlineStr">
        <is>
          <t>1. Открой терминал.
2. Получи токен РОП-А (как в TC-041, шаг 2, только с логином и паролем РОП-А).
3. Запроси карточку чужого оператора (подставь токен РОП-А и ID оператора РОП-Б):
   curl -i {STAGE_API_URL}/v1/users/ID_ОПЕРАТОРА_РОП_Б -H "Authorization: Bearer ТОКЕН"
4. Посмотри код ответа и тело.</t>
        </is>
      </c>
      <c r="F23" s="16" t="inlineStr">
        <is>
          <t>Critical</t>
        </is>
      </c>
      <c r="G23" s="16" t="inlineStr">
        <is>
          <t>Негативный</t>
        </is>
      </c>
      <c r="H23" s="16" t="inlineStr">
        <is>
          <t>API</t>
        </is>
      </c>
      <c r="I23" s="14" t="inlineStr">
        <is>
          <t>Код ответа 403 или 404 — оба допустимы. В теле НЕТ данных оператора: ни имени, ни телефона, ни зарплаты, ни внутреннего номера. Если данные вернулись — критический дефект изоляции (R-1), баг немедленно.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70" customHeight="1">
      <c r="A24" s="16" t="inlineStr">
        <is>
          <t>TC-043</t>
        </is>
      </c>
      <c r="B24" s="14" t="inlineStr">
        <is>
          <t>Смена роли требует нового входа: сессии не смешиваются</t>
        </is>
      </c>
      <c r="C24" s="14" t="inlineStr">
        <is>
          <t>Проверяем, что после выхода из-под одной роли и входа под другой права применяются заново — меню и доступы соответствуют НОВОЙ роли, ничего не «прилипло» от предыдущей.</t>
        </is>
      </c>
      <c r="D24" s="14" t="inlineStr">
        <is>
          <t>Известны учётные записи РОП и оператора одной компании.</t>
        </is>
      </c>
      <c r="E24" s="14" t="inlineStr">
        <is>
          <t>1. Войди под РОП. Убедись, что видишь меню РОП (см. TC-022).
2. Выйди. Войди под оператором в том же браузере.
3. Посмотри меню и попробуй открыть /dashboard/mezonlar по прямой ссылке.</t>
        </is>
      </c>
      <c r="F24" s="16" t="inlineStr">
        <is>
          <t>High</t>
        </is>
      </c>
      <c r="G24" s="16" t="inlineStr">
        <is>
          <t>Негативный</t>
        </is>
      </c>
      <c r="H24" s="16" t="inlineStr">
        <is>
          <t>UI</t>
        </is>
      </c>
      <c r="I24" s="14" t="inlineStr">
        <is>
          <t>После входа под оператором меню — операторское (см. TC-023), а «Критерии» по прямой ссылке НЕ открываются, хотя минуту назад под РОП открывались.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</sheetData>
  <autoFilter ref="A1:L24"/>
  <conditionalFormatting sqref="K2:K5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4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4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4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96.39999999999999" customHeight="1">
      <c r="A2" s="16" t="inlineStr">
        <is>
          <t>TC-044</t>
        </is>
      </c>
      <c r="B2" s="14" t="inlineStr">
        <is>
          <t>Супер-админ создаёт нового РОП</t>
        </is>
      </c>
      <c r="C2" s="14" t="inlineStr">
        <is>
          <t>Проверяем основной путь создания компании РОП. РОП — руководитель отдела продаж, который после создания получает собственную компанию и сможет добавлять операторов.</t>
        </is>
      </c>
      <c r="D2" s="14" t="inlineStr">
        <is>
          <t>Работа ведётся только на staging. Выполнен вход под супер-админом. Подготовлены уникальные логин, телефон и название тестовой компании.</t>
        </is>
      </c>
      <c r="E2" s="14" t="inlineStr">
        <is>
          <t>1. В меню слева открой раздел «РОПы».
2. Нажми кнопку «Новый РОП».
3. Заполни поля «Имя», «Фамилия», «Телефон», «Пароль», «Имя пользователя (логин)» и «Название компании».
4. В поле «Тариф» выбери любой тестовый тариф.
5. Нажми кнопку «Создать».
6. Найди новую компанию в таблице «Компании РОП».</t>
        </is>
      </c>
      <c r="F2" s="16" t="inlineStr">
        <is>
          <t>Critical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Появляется сообщение «Пользователь создан». В таблице есть ровно одна новая строка с указанной компанией и Ф.И.О.; роль — «РОП», статус — «Активен». Созданный РОП может войти со своими логином и паролем.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83.19999999999999" customHeight="1">
      <c r="A3" s="16" t="inlineStr">
        <is>
          <t>TC-045</t>
        </is>
      </c>
      <c r="B3" s="14" t="inlineStr">
        <is>
          <t>Создание РОП с пустыми обязательными полями запрещено</t>
        </is>
      </c>
      <c r="C3" s="14" t="inlineStr">
        <is>
          <t>Проверяем, что пустая карточка не сохраняется. Это защищает список пользователей от записей без имени, контакта, логина или компании.</t>
        </is>
      </c>
      <c r="D3" s="14" t="inlineStr">
        <is>
          <t>Выполнен вход под супер-админом, открыт раздел «РОПы».</t>
        </is>
      </c>
      <c r="E3" s="14" t="inlineStr">
        <is>
          <t>1. Нажми «Новый РОП».
2. Ничего не вводи и по очереди нажми в каждое поле, затем щёлкни вне поля.
3. Посмотри на подсказки под полями.
4. Проверь состояние кнопки «Создать».</t>
        </is>
      </c>
      <c r="F3" s="16" t="inlineStr">
        <is>
          <t>High</t>
        </is>
      </c>
      <c r="G3" s="16" t="inlineStr">
        <is>
          <t>Негативный</t>
        </is>
      </c>
      <c r="H3" s="16" t="inlineStr">
        <is>
          <t>UI</t>
        </is>
      </c>
      <c r="I3" s="14" t="inlineStr">
        <is>
          <t>Под пустыми полями показаны понятные сообщения: «Имя обязательно», «Фамилия обязательна», «Телефон обязателен», «Имя пользователя обязательно», «Название компании обязательно» и требование к паролю. Кнопка «Создать» неактивна, пользователь не появляется.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96.39999999999999" customHeight="1">
      <c r="A4" s="16" t="inlineStr">
        <is>
          <t>TC-046</t>
        </is>
      </c>
      <c r="B4" s="14" t="inlineStr">
        <is>
          <t>Телефон РОП принимает только номер Узбекистана</t>
        </is>
      </c>
      <c r="C4" s="14" t="inlineStr">
        <is>
          <t>Регрессия BUG-004: раньше поле телефона принимало буквы и любой текст. Проверяем формат +998 и девять цифр абонента.</t>
        </is>
      </c>
      <c r="D4" s="14" t="inlineStr">
        <is>
          <t>Выполнен вход под супер-админом, открыта форма «Создать РОП». Остальные поля заполнены корректными уникальными значениями.</t>
        </is>
      </c>
      <c r="E4" s="14" t="inlineStr">
        <is>
          <t>1. В поле «Телефон» введи буквы, например «абвгд».
2. Щёлкни вне поля и прочитай сообщение.
3. Замени значение на слишком короткий номер «+998 90 123».
4. Щёлкни вне поля и снова проверь сообщение.
5. Введи корректный тестовый номер в формате «+998 90 123 45 67».</t>
        </is>
      </c>
      <c r="F4" s="16" t="inlineStr">
        <is>
          <t>High</t>
        </is>
      </c>
      <c r="G4" s="16" t="inlineStr">
        <is>
          <t>Негативный</t>
        </is>
      </c>
      <c r="H4" s="16" t="inlineStr">
        <is>
          <t>UI</t>
        </is>
      </c>
      <c r="I4" s="14" t="inlineStr">
        <is>
          <t>Для букв и короткого номера показано «Неверный номер телефона (+998 XX XXX XX XX)», создание недоступно. После корректного номера ошибка исчезает.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70" customHeight="1">
      <c r="A5" s="16" t="inlineStr">
        <is>
          <t>TC-047</t>
        </is>
      </c>
      <c r="B5" s="14" t="inlineStr">
        <is>
          <t>Одинаковый телефон нельзя выдать двум РОП</t>
        </is>
      </c>
      <c r="C5" s="14" t="inlineStr">
        <is>
          <t>Регрессия BUG-007. Система сравнивает только цифры, поэтому номер с пробелами и тот же номер без пробелов должны считаться одним номером.</t>
        </is>
      </c>
      <c r="D5" s="14" t="inlineStr">
        <is>
          <t>На staging уже есть тестовый РОП с телефоном «+998 90 123 45 67». Выполнен вход под супер-админом.</t>
        </is>
      </c>
      <c r="E5" s="14" t="inlineStr">
        <is>
          <t>1. Нажми «Новый РОП».
2. Заполни все поля новыми значениями, но в «Телефон» введи «998901234567» без пробелов.
3. Нажми «Создать».
4. Проверь сообщение и таблицу «Компании РОП».</t>
        </is>
      </c>
      <c r="F5" s="16" t="inlineStr">
        <is>
          <t>High</t>
        </is>
      </c>
      <c r="G5" s="16" t="inlineStr">
        <is>
          <t>Негативный</t>
        </is>
      </c>
      <c r="H5" s="16" t="inlineStr">
        <is>
          <t>UI</t>
        </is>
      </c>
      <c r="I5" s="14" t="inlineStr">
        <is>
          <t>Появляется понятная ошибка о том, что телефон уже используется. Второй РОП не создан; в таблице остаётся только один пользователь с этим номером.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70" customHeight="1">
      <c r="A6" s="16" t="inlineStr">
        <is>
          <t>TC-048</t>
        </is>
      </c>
      <c r="B6" s="14" t="inlineStr">
        <is>
          <t>Одинаковый логин нельзя выдать двум пользователям</t>
        </is>
      </c>
      <c r="C6" s="14" t="inlineStr">
        <is>
          <t>Логин — уникальное имя для входа. Если два человека получат одинаковый логин, система не сможет однозначно определить, кто входит.</t>
        </is>
      </c>
      <c r="D6" s="14" t="inlineStr">
        <is>
          <t>На staging существует тестовый пользователь с известным логином. Выполнен вход под супер-админом.</t>
        </is>
      </c>
      <c r="E6" s="14" t="inlineStr">
        <is>
          <t>1. Открой форму «Новый РОП».
2. Заполни все поля уникальными данными, кроме поля «Имя пользователя (логин)».
3. Введи логин уже существующего пользователя.
4. Нажми «Создать».</t>
        </is>
      </c>
      <c r="F6" s="16" t="inlineStr">
        <is>
          <t>High</t>
        </is>
      </c>
      <c r="G6" s="16" t="inlineStr">
        <is>
          <t>Негативный</t>
        </is>
      </c>
      <c r="H6" s="16" t="inlineStr">
        <is>
          <t>UI</t>
        </is>
      </c>
      <c r="I6" s="14" t="inlineStr">
        <is>
          <t>Показана ошибка о занятом имени пользователя. Второй пользователь с тем же логином не создаётся.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96.39999999999999" customHeight="1">
      <c r="A7" s="16" t="inlineStr">
        <is>
          <t>TC-049</t>
        </is>
      </c>
      <c r="B7" s="14" t="inlineStr">
        <is>
          <t>Супер-админ редактирует данные РОП</t>
        </is>
      </c>
      <c r="C7" s="14" t="inlineStr">
        <is>
          <t>Проверяем изменение контактных данных и названия компании без случайной смены роли или потери подключений.</t>
        </is>
      </c>
      <c r="D7" s="14" t="inlineStr">
        <is>
          <t>Есть отдельный тестовый РОП. Выполнен вход под супер-админом, открыт раздел «РОПы».</t>
        </is>
      </c>
      <c r="E7" s="14" t="inlineStr">
        <is>
          <t>1. В строке тестового РОП нажми значок редактирования с подсказкой «Редактировать».
2. В окне «Редактировать пользователя» измени «Имя», «Фамилия», «Телефон» и «Название компании».
3. Проверь, что поле «Роль» недоступно для ввода.
4. Нажми «Сохранить».
5. Обнови страницу браузера и снова найди этого РОП.</t>
        </is>
      </c>
      <c r="F7" s="16" t="inlineStr">
        <is>
          <t>High</t>
        </is>
      </c>
      <c r="G7" s="16" t="inlineStr">
        <is>
          <t>Позитивный</t>
        </is>
      </c>
      <c r="H7" s="16" t="inlineStr">
        <is>
          <t>UI</t>
        </is>
      </c>
      <c r="I7" s="14" t="inlineStr">
        <is>
          <t>Появляется «Пользователь сохранён». После обновления видны новые данные; роль осталась «РОП», пользователь не продублировался, его интеграции не исчезли.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136" customHeight="1">
      <c r="A8" s="16" t="inlineStr">
        <is>
          <t>TC-050</t>
        </is>
      </c>
      <c r="B8" s="14" t="inlineStr">
        <is>
          <t>Деактивация РОП действует сразу и сохраняет данные</t>
        </is>
      </c>
      <c r="C8" s="14" t="inlineStr">
        <is>
          <t>Проверяем исправление BUG-006. Деактивация похожа на временную блокировку пропуска: данные остаются, но пользоваться системой больше нельзя с первого следующего действия.</t>
        </is>
      </c>
      <c r="D8" s="14" t="inlineStr">
        <is>
          <t>Есть отдельный тестовый РОП. В первом браузере выполнен вход под супер-админом, во втором — под этим РОП; у РОП открыта любая рабочая страница.</t>
        </is>
      </c>
      <c r="E8" s="14" t="inlineStr">
        <is>
          <t>1. В первом браузере в строке РОП нажми действие «Деактивировать».
2. Во втором браузере обнови страницу или открой любой раздел.
3. Проверь, что рабочие данные больше не открываются и показана страница входа либо отказ 401.
4. В первом браузере проверь статус РОП в таблице.
5. Нажми «Активировать».
6. Войди под РОП снова и проверь его компанию и список операторов.</t>
        </is>
      </c>
      <c r="F8" s="16" t="inlineStr">
        <is>
          <t>Critical</t>
        </is>
      </c>
      <c r="G8" s="16" t="inlineStr">
        <is>
          <t>Позитивный</t>
        </is>
      </c>
      <c r="H8" s="16" t="inlineStr">
        <is>
          <t>UI</t>
        </is>
      </c>
      <c r="I8" s="14" t="inlineStr">
        <is>
          <t>После деактивации следующий запрос РОП сразу отклонён; ждать 15 минут не требуется. В таблице статус «Неактивен». После активации вход снова работает, компания, операторы и настройки сохранились.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96.39999999999999" customHeight="1">
      <c r="A9" s="16" t="inlineStr">
        <is>
          <t>TC-051</t>
        </is>
      </c>
      <c r="B9" s="14" t="inlineStr">
        <is>
          <t>Удаление тестового РОП требует подтверждения</t>
        </is>
      </c>
      <c r="C9" s="14" t="inlineStr">
        <is>
          <t>Удаление трудно отменить, поэтому сначала проверяем отмену, затем подтверждаем удаление только для специально созданной тестовой компании.</t>
        </is>
      </c>
      <c r="D9" s="14" t="inlineStr">
        <is>
          <t>На staging создан отдельный РОП без нужных данных и интеграций. Выполнен вход под супер-админом.</t>
        </is>
      </c>
      <c r="E9" s="14" t="inlineStr">
        <is>
          <t>1. В строке тестового РОП нажми значок удаления.
2. В окне «Удалить пользователя» нажми «Отмена».
3. Убедись, что РОП остался в таблице.
4. Снова нажми значок удаления и в окне подтверждения нажми «Удалить».
5. Обнови страницу и найди РОП по названию компании.
6. Попробуй войти под удалённым РОП.</t>
        </is>
      </c>
      <c r="F9" s="16" t="inlineStr">
        <is>
          <t>High</t>
        </is>
      </c>
      <c r="G9" s="16" t="inlineStr">
        <is>
          <t>Позитивный</t>
        </is>
      </c>
      <c r="H9" s="16" t="inlineStr">
        <is>
          <t>UI</t>
        </is>
      </c>
      <c r="I9" s="14" t="inlineStr">
        <is>
          <t>После «Отмена» ничего не меняется. После подтверждения появляется «Пользователь удалён», строка исчезает, вход удалённой учётной записью невозможен.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136" customHeight="1">
      <c r="A10" s="16" t="inlineStr">
        <is>
          <t>TC-052</t>
        </is>
      </c>
      <c r="B10" s="14" t="inlineStr">
        <is>
          <t>РОП создаёт оператора с доступным внутренним номером</t>
        </is>
      </c>
      <c r="C10" s="14" t="inlineStr">
        <is>
          <t>Внутренний номер — короткий номер сотрудника в OnlinePBX. Он выбирается из списка, чтобы звонки и записи привязывались к правильному оператору.</t>
        </is>
      </c>
      <c r="D10" s="14" t="inlineStr">
        <is>
          <t>Выполнен вход под РОП. Для его компании подключён OnlinePBX; в нём есть свободный включённый внутренний номер. Подготовлены уникальные логин и телефон.</t>
        </is>
      </c>
      <c r="E10" s="14" t="inlineStr">
        <is>
          <t>1. В меню открой «Операторы».
2. Нажми «Новый оператор».
3. Заполни «Имя», «Фамилия», «Телефон», «Пароль» и «Имя пользователя».
4. В поле «PBX extension (внутренний номер)» выбери свободного сотрудника.
5. Введи положительную «Зарплату» и выбери «День зарплаты».
6. Нажми «Создать».
7. Найди оператора в таблице.</t>
        </is>
      </c>
      <c r="F10" s="16" t="inlineStr">
        <is>
          <t>Critical</t>
        </is>
      </c>
      <c r="G10" s="16" t="inlineStr">
        <is>
          <t>Позитивный</t>
        </is>
      </c>
      <c r="H10" s="16" t="inlineStr">
        <is>
          <t>UI</t>
        </is>
      </c>
      <c r="I10" s="14" t="inlineStr">
        <is>
          <t>Появляется «Пользователь создан». Оператор виден один раз, имеет статус «Активен» и выбранный внутренний номер. Он может войти в систему.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96.39999999999999" customHeight="1">
      <c r="A11" s="16" t="inlineStr">
        <is>
          <t>TC-053</t>
        </is>
      </c>
      <c r="B11" s="14" t="inlineStr">
        <is>
          <t>Оператор без обязательных данных не создаётся</t>
        </is>
      </c>
      <c r="C11" s="14" t="inlineStr">
        <is>
          <t>Проверяем все обязательные поля формы оператора, включая телефонию и оплату труда.</t>
        </is>
      </c>
      <c r="D11" s="14" t="inlineStr">
        <is>
          <t>Выполнен вход под РОП, открыта форма «Создать оператора».</t>
        </is>
      </c>
      <c r="E11" s="14" t="inlineStr">
        <is>
          <t>1. Оставь все поля пустыми.
2. По очереди нажми в каждое поле и затем щёлкни вне него.
3. Посмотри сообщения под полями «Имя», «Фамилия», «Телефон», «Пароль», «Имя пользователя», «PBX extension», «Зарплата» и «День зарплаты».
4. Проверь кнопку «Создать».</t>
        </is>
      </c>
      <c r="F11" s="16" t="inlineStr">
        <is>
          <t>High</t>
        </is>
      </c>
      <c r="G11" s="16" t="inlineStr">
        <is>
          <t>Негативный</t>
        </is>
      </c>
      <c r="H11" s="16" t="inlineStr">
        <is>
          <t>UI</t>
        </is>
      </c>
      <c r="I11" s="14" t="inlineStr">
        <is>
          <t>У каждого обязательного поля есть понятная подсказка. Кнопка «Создать» неактивна, пустой оператор в таблице не появляется.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70" customHeight="1">
      <c r="A12" s="16" t="inlineStr">
        <is>
          <t>TC-054</t>
        </is>
      </c>
      <c r="B12" s="14" t="inlineStr">
        <is>
          <t>Занятый или выключенный внутренний номер выбрать нельзя</t>
        </is>
      </c>
      <c r="C12" s="14" t="inlineStr">
        <is>
          <t>Один внутренний номер не должен одновременно принадлежать двум операторам: иначе звонки и записи будут приписаны не тому человеку.</t>
        </is>
      </c>
      <c r="D12" s="14" t="inlineStr">
        <is>
          <t>OnlinePBX подключён. В списке есть один свободный номер, один уже назначенный и один выключенный номер. Выполнен вход под РОП.</t>
        </is>
      </c>
      <c r="E12" s="14" t="inlineStr">
        <is>
          <t>1. Открой «Новый оператор».
2. Раскрой список «PBX extension (внутренний номер)».
3. Найди строку с пометкой «занят».
4. Попробуй выбрать занятую и выключенную строки.
5. Выбери свободный номер.</t>
        </is>
      </c>
      <c r="F12" s="16" t="inlineStr">
        <is>
          <t>High</t>
        </is>
      </c>
      <c r="G12" s="16" t="inlineStr">
        <is>
          <t>Негативный</t>
        </is>
      </c>
      <c r="H12" s="16" t="inlineStr">
        <is>
          <t>UI</t>
        </is>
      </c>
      <c r="I12" s="14" t="inlineStr">
        <is>
          <t>Занятый и выключенный номера видны, но недоступны для выбора. Свободный номер выбирается нормально.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83.19999999999999" customHeight="1">
      <c r="A13" s="16" t="inlineStr">
        <is>
          <t>TC-055</t>
        </is>
      </c>
      <c r="B13" s="14" t="inlineStr">
        <is>
          <t>Без внутреннего номера оператор не создаётся при недоступном OnlinePBX</t>
        </is>
      </c>
      <c r="C13" s="14" t="inlineStr">
        <is>
          <t>Если список OnlinePBX загрузить нельзя, система показывает обычное текстовое поле. Даже в этом запасном режиме пустой внутренний номер запрещён.</t>
        </is>
      </c>
      <c r="D13" s="14" t="inlineStr">
        <is>
          <t>На staging временно отсутствует конфигурация OnlinePBX либо тестировщик по согласованию заблокировал запрос списка внутренних номеров. Выполнен вход под РОП.</t>
        </is>
      </c>
      <c r="E13" s="14" t="inlineStr">
        <is>
          <t>1. Открой форму «Создать оператора».
2. Дождись, когда вместо списка появится поле «PBX extension (внутренний номер OnlinePBX, например 100)».
3. Заполни остальные поля, а это поле оставь пустым.
4. Нажми вне поля и проверь форму.</t>
        </is>
      </c>
      <c r="F13" s="16" t="inlineStr">
        <is>
          <t>Critical</t>
        </is>
      </c>
      <c r="G13" s="16" t="inlineStr">
        <is>
          <t>Негативный</t>
        </is>
      </c>
      <c r="H13" s="16" t="inlineStr">
        <is>
          <t>UI</t>
        </is>
      </c>
      <c r="I13" s="14" t="inlineStr">
        <is>
          <t>Показано «PBX extension обязателен», кнопка «Создать» неактивна. Оператор без внутреннего номера не появляется.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70" customHeight="1">
      <c r="A14" s="16" t="inlineStr">
        <is>
          <t>TC-056</t>
        </is>
      </c>
      <c r="B14" s="14" t="inlineStr">
        <is>
          <t>Нулевая и отрицательная зарплата оператора отклоняются</t>
        </is>
      </c>
      <c r="C14" s="14" t="inlineStr">
        <is>
          <t>Проверяем границу числового поля. Отрицательная или нулевая зарплата в форме считается незаполненной корректно и не должна сохраняться.</t>
        </is>
      </c>
      <c r="D14" s="14" t="inlineStr">
        <is>
          <t>Открыта форма «Создать оператора», все поля кроме «Зарплата» заполнены корректно.</t>
        </is>
      </c>
      <c r="E14" s="14" t="inlineStr">
        <is>
          <t>1. В поле «Зарплата» введи «-1» и щёлкни вне поля.
2. Проверь сообщение под полем.
3. Замени значение на «0» и снова щёлкни вне поля.
4. Замени значение на положительное целое число, например «1000000».</t>
        </is>
      </c>
      <c r="F14" s="16" t="inlineStr">
        <is>
          <t>Medium</t>
        </is>
      </c>
      <c r="G14" s="16" t="inlineStr">
        <is>
          <t>Граничный</t>
        </is>
      </c>
      <c r="H14" s="16" t="inlineStr">
        <is>
          <t>UI</t>
        </is>
      </c>
      <c r="I14" s="14" t="inlineStr">
        <is>
          <t>Для -1 и 0 показано «Укажите зарплату», создать оператора нельзя. Положительное число принимается без сообщения «Invalid input».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83.19999999999999" customHeight="1">
      <c r="A15" s="16" t="inlineStr">
        <is>
          <t>TC-057</t>
        </is>
      </c>
      <c r="B15" s="14" t="inlineStr">
        <is>
          <t>Телефон оператора не может повторять телефон другого пользователя</t>
        </is>
      </c>
      <c r="C15" s="14" t="inlineStr">
        <is>
          <t>Уникальность телефона действует для всех учётных записей, а форматирование пробелами и скобками не должно обходить проверку.</t>
        </is>
      </c>
      <c r="D15" s="14" t="inlineStr">
        <is>
          <t>Есть пользователь с известным тестовым телефоном. Выполнен вход под РОП, остальные данные нового оператора уникальны.</t>
        </is>
      </c>
      <c r="E15" s="14" t="inlineStr">
        <is>
          <t>1. Открой «Новый оператор» и заполни обязательные поля.
2. В «Телефон» введи номер существующего пользователя в другом оформлении, например со скобками вместо пробелов.
3. Нажми «Создать».</t>
        </is>
      </c>
      <c r="F15" s="16" t="inlineStr">
        <is>
          <t>High</t>
        </is>
      </c>
      <c r="G15" s="16" t="inlineStr">
        <is>
          <t>Негативный</t>
        </is>
      </c>
      <c r="H15" s="16" t="inlineStr">
        <is>
          <t>UI</t>
        </is>
      </c>
      <c r="I15" s="14" t="inlineStr">
        <is>
          <t>Показана ошибка, что телефон уже используется. Новый оператор не создан.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56.8" customHeight="1">
      <c r="A16" s="16" t="inlineStr">
        <is>
          <t>TC-058</t>
        </is>
      </c>
      <c r="B16" s="14" t="inlineStr">
        <is>
          <t>Логин оператора не может повторять существующий логин</t>
        </is>
      </c>
      <c r="C16" s="14" t="inlineStr">
        <is>
          <t>Проверяем уникальность имени для входа среди операторов и РОП.</t>
        </is>
      </c>
      <c r="D16" s="14" t="inlineStr">
        <is>
          <t>Известен логин существующего пользователя. Выполнен вход под РОП.</t>
        </is>
      </c>
      <c r="E16" s="14" t="inlineStr">
        <is>
          <t>1. Открой форму «Создать оператора».
2. Заполни все поля уникальными данными, а в «Имя пользователя» введи занятый логин.
3. Нажми «Создать».</t>
        </is>
      </c>
      <c r="F16" s="16" t="inlineStr">
        <is>
          <t>High</t>
        </is>
      </c>
      <c r="G16" s="16" t="inlineStr">
        <is>
          <t>Негативный</t>
        </is>
      </c>
      <c r="H16" s="16" t="inlineStr">
        <is>
          <t>UI</t>
        </is>
      </c>
      <c r="I16" s="14" t="inlineStr">
        <is>
          <t>Показана ошибка о занятом имени пользователя; новая строка не появляется.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96.39999999999999" customHeight="1">
      <c r="A17" s="16" t="inlineStr">
        <is>
          <t>TC-059</t>
        </is>
      </c>
      <c r="B17" s="14" t="inlineStr">
        <is>
          <t>РОП редактирует данные своего оператора</t>
        </is>
      </c>
      <c r="C17" s="14" t="inlineStr">
        <is>
          <t>Проверяем изменение контактных данных, внутреннего номера и оплаты труда. Оператор должен остаться в той же компании и с той же ролью.</t>
        </is>
      </c>
      <c r="D17" s="14" t="inlineStr">
        <is>
          <t>Есть тестовый оператор и второй свободный внутренний номер OnlinePBX. Выполнен вход под его РОП.</t>
        </is>
      </c>
      <c r="E17" s="14" t="inlineStr">
        <is>
          <t>1. В разделе «Операторы» нажми «Редактировать» у тестового оператора.
2. Измени имя, фамилию, телефон, внутренний номер, зарплату и день зарплаты.
3. Проверь, что поле «Роль» недоступно.
4. Нажми «Сохранить».
5. Обнови страницу и снова открой редактирование.</t>
        </is>
      </c>
      <c r="F17" s="16" t="inlineStr">
        <is>
          <t>High</t>
        </is>
      </c>
      <c r="G17" s="16" t="inlineStr">
        <is>
          <t>Позитивный</t>
        </is>
      </c>
      <c r="H17" s="16" t="inlineStr">
        <is>
          <t>UI</t>
        </is>
      </c>
      <c r="I17" s="14" t="inlineStr">
        <is>
          <t>Показано «Пользователь сохранён». Все изменения сохранились после обновления; роль осталась «Оператор», компания не изменилась.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96.39999999999999" customHeight="1">
      <c r="A18" s="16" t="inlineStr">
        <is>
          <t>TC-060</t>
        </is>
      </c>
      <c r="B18" s="14" t="inlineStr">
        <is>
          <t>Карточка оператора показывает его актуальные данные</t>
        </is>
      </c>
      <c r="C18" s="14" t="inlineStr">
        <is>
          <t>Проверяем экран одного оператора: контакт, онлайн-статус, воронки, внутренний номер, недельные рабочие часы и записи звонков.</t>
        </is>
      </c>
      <c r="D18" s="14" t="inlineStr">
        <is>
          <t>Есть тестовый оператор с назначенной воронкой и хотя бы одной записью звонка. Выполнен вход под его РОП.</t>
        </is>
      </c>
      <c r="E18" s="14" t="inlineStr">
        <is>
          <t>1. Открой раздел «Операторы».
2. Нажми на строку тестового оператора.
3. Сверь имя, статус «Онлайн» или «Оффлайн», подпись «доб. …» и строку «Воронка: …».
4. Проверь блоки «Рабочие часы за неделю», «Сегодняшняя сессия» и «Записи звонков».
5. Вернись назад в список операторов.</t>
        </is>
      </c>
      <c r="F18" s="16" t="inlineStr">
        <is>
          <t>Medium</t>
        </is>
      </c>
      <c r="G18" s="16" t="inlineStr">
        <is>
          <t>Позитивный</t>
        </is>
      </c>
      <c r="H18" s="16" t="inlineStr">
        <is>
          <t>UI</t>
        </is>
      </c>
      <c r="I18" s="14" t="inlineStr">
        <is>
          <t>Открылась карточка именно выбранного оператора. Данные совпадают с таблицей и настройками; чужие операторы и чужие звонки не показаны; кнопка возврата работает.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122.8" customHeight="1">
      <c r="A19" s="16" t="inlineStr">
        <is>
          <t>TC-061</t>
        </is>
      </c>
      <c r="B19" s="14" t="inlineStr">
        <is>
          <t>Деактивация оператора действует сразу и не удаляет историю</t>
        </is>
      </c>
      <c r="C19" s="14" t="inlineStr">
        <is>
          <t>РОП временно закрывает доступ оператору, но его звонки, рабочие часы и настройки должны сохраниться.</t>
        </is>
      </c>
      <c r="D19" s="14" t="inlineStr">
        <is>
          <t>В одном браузере выполнен вход под РОП, в другом — под отдельным тестовым оператором. У оператора есть история звонков.</t>
        </is>
      </c>
      <c r="E19" s="14" t="inlineStr">
        <is>
          <t>1. Под РОП нажми «Деактивировать» у оператора.
2. Под оператором обнови страницу или открой другой раздел.
3. Проверь, что оператор сразу возвращён на вход или получил отказ.
4. Под РОП открой карточку оператора и проверь историю.
5. Нажми «Активировать», затем снова войди под оператором.</t>
        </is>
      </c>
      <c r="F19" s="16" t="inlineStr">
        <is>
          <t>Critical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Доступ прекращается на следующем запросе. История звонков, рабочие часы, внутренний номер и воронки остаются. После активации оператор снова входит.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109.6" customHeight="1">
      <c r="A20" s="16" t="inlineStr">
        <is>
          <t>TC-062</t>
        </is>
      </c>
      <c r="B20" s="14" t="inlineStr">
        <is>
          <t>Очень длинные данные пользователя не ломают форму</t>
        </is>
      </c>
      <c r="C20" s="14" t="inlineStr">
        <is>
          <t>Проверяем защиту от случайной вставки огромного текста. Даже если точный предел не задан, приложение не должно зависать, обрезать данные молча или отвечать ошибкой 500.</t>
        </is>
      </c>
      <c r="D20" s="14" t="inlineStr">
        <is>
          <t>Выполнен вход под супер-админом, открыта форма «Создать РОП». Подготовлена строка из 300 букв.</t>
        </is>
      </c>
      <c r="E20" s="14" t="inlineStr">
        <is>
          <t>1. Вставь строку из 300 букв в поле «Имя».
2. Вставь другую строку из 300 символов в «Имя пользователя (логин)».
3. Вставь строку из 300 букв в «Название компании».
4. Остальные поля заполни корректно и попробуй нажать «Создать».
5. Посмотри сообщение и проверь, не появилась ли обрезанная запись.</t>
        </is>
      </c>
      <c r="F20" s="16" t="inlineStr">
        <is>
          <t>Medium</t>
        </is>
      </c>
      <c r="G20" s="16" t="inlineStr">
        <is>
          <t>Граничный</t>
        </is>
      </c>
      <c r="H20" s="16" t="inlineStr">
        <is>
          <t>UI</t>
        </is>
      </c>
      <c r="I20" s="14" t="inlineStr">
        <is>
          <t>Страница не зависает и не показывает внутреннюю ошибку 500. Система либо отклоняет слишком длинное значение с понятным сообщением и указанным пределом, либо сохраняет его целиком; молчаливого обрезания и дубликата нет.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83.19999999999999" customHeight="1">
      <c r="A21" s="16" t="inlineStr">
        <is>
          <t>TC-063</t>
        </is>
      </c>
      <c r="B21" s="14" t="inlineStr">
        <is>
          <t>Повторное нажатие «Создать» не дублирует пользователя</t>
        </is>
      </c>
      <c r="C21" s="14" t="inlineStr">
        <is>
          <t>Медленная сеть может заставить человека нажать кнопку несколько раз. Один запрос пользователя должен создать только одну учётную запись.</t>
        </is>
      </c>
      <c r="D21" s="14" t="inlineStr">
        <is>
          <t>Выполнен вход под РОП. Открыта заполненная корректными уникальными данными форма «Создать оператора». В инструментах браузера включена медленная сеть.</t>
        </is>
      </c>
      <c r="E21" s="14" t="inlineStr">
        <is>
          <t>1. Быстро дважды нажми кнопку «Создать».
2. Дождись окончания загрузки, не обновляя страницу.
3. Найди оператора по логину и телефону.
4. Обнови страницу и проверь список ещё раз.</t>
        </is>
      </c>
      <c r="F21" s="16" t="inlineStr">
        <is>
          <t>High</t>
        </is>
      </c>
      <c r="G21" s="16" t="inlineStr">
        <is>
          <t>Негативный</t>
        </is>
      </c>
      <c r="H21" s="16" t="inlineStr">
        <is>
          <t>UI</t>
        </is>
      </c>
      <c r="I21" s="14" t="inlineStr">
        <is>
          <t>Кнопка блокируется после первого нажатия. Создан ровно один оператор; нет двух строк, двух сообщений об успехе или ошибки из-за второго запроса.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109.6" customHeight="1">
      <c r="A22" s="16" t="inlineStr">
        <is>
          <t>TC-064</t>
        </is>
      </c>
      <c r="B22" s="14" t="inlineStr">
        <is>
          <t>Потеря сети при создании пользователя не создаёт «призрак»</t>
        </is>
      </c>
      <c r="C22" s="14" t="inlineStr">
        <is>
          <t>Если связь пропала во время сохранения, интерфейс должен честно показать ошибку, а повторная попытка после восстановления не должна дать дубликат.</t>
        </is>
      </c>
      <c r="D22" s="14" t="inlineStr">
        <is>
          <t>Выполнен вход под супер-админом. Форма «Создать РОП» заполнена уникальными тестовыми данными.</t>
        </is>
      </c>
      <c r="E22" s="14" t="inlineStr">
        <is>
          <t>1. В инструментах браузера включи режим Offline (без сети).
2. Нажми «Создать».
3. Проверь сообщение об ошибке и то, что форма не закрылась бесследно.
4. Верни сеть в режим Online.
5. Нажми «Создать» один раз и дождись результата.
6. Обнови таблицу и найди пользователя по логину.</t>
        </is>
      </c>
      <c r="F22" s="16" t="inlineStr">
        <is>
          <t>High</t>
        </is>
      </c>
      <c r="G22" s="16" t="inlineStr">
        <is>
          <t>Негативный</t>
        </is>
      </c>
      <c r="H22" s="16" t="inlineStr">
        <is>
          <t>UI</t>
        </is>
      </c>
      <c r="I22" s="14" t="inlineStr">
        <is>
          <t>Без сети показана ошибка создания, ложного сообщения об успехе нет. После восстановления создаётся ровно один РОП, введённые данные не превращаются в дубликаты.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</sheetData>
  <autoFilter ref="A1:L22"/>
  <conditionalFormatting sqref="K2:K5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2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2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2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96.39999999999999" customHeight="1">
      <c r="A2" s="16" t="inlineStr">
        <is>
          <t>TC-065</t>
        </is>
      </c>
      <c r="B2" s="14" t="inlineStr">
        <is>
          <t>Таблица рабочих лидов показывает статус и историю попыток</t>
        </is>
      </c>
      <c r="C2" s="14" t="inlineStr">
        <is>
          <t>Рабочий лид — это сделка из AmoCRM, а не заявка с лендинга в меню супер-админа. Проверяем основные данные, по которым оператор понимает, кому уже звонили.</t>
        </is>
      </c>
      <c r="D2" s="14" t="inlineStr">
        <is>
          <t>Выполнен вход под оператором. Ему назначена тестовая воронка; в ней есть лид, по которому уже выполнялся звонок через Operator AI.</t>
        </is>
      </c>
      <c r="E2" s="14" t="inlineStr">
        <is>
          <t>1. В меню открой «Звонки».
2. Найди тестовый лид по названию сделки.
3. Сверь колонки «Название сделки», «Статус», «Попытки», «Последний звонок» и «Действие».
4. Нажми на строку лида.
5. Проверь блок «Данные сделки» и список связанных звонков.</t>
        </is>
      </c>
      <c r="F2" s="16" t="inlineStr">
        <is>
          <t>High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В строке показаны актуальный узбекский статус, число попыток и время последнего звонка. Карточка относится к тому же лиду; данные чужих воронок не показаны.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96.39999999999999" customHeight="1">
      <c r="A3" s="16" t="inlineStr">
        <is>
          <t>TC-066</t>
        </is>
      </c>
      <c r="B3" s="14" t="inlineStr">
        <is>
          <t>Все варианты апострофа распознаются как Ko'tarmadi</t>
        </is>
      </c>
      <c r="C3" s="14" t="inlineStr">
        <is>
          <t>Название «Ko'tarmadi» означает «не поднял трубку». Система удаляет разные виды апострофа, поэтому одинаковый смысл не должен зависеть от раскладки клавиатуры.</t>
        </is>
      </c>
      <c r="D3" s="14" t="inlineStr">
        <is>
          <t>В тестовой воронке созданы статусы `Ko'tarmadi`, `Ko’tarmadi`, `Koʻtarmadi`, `Koʼtarmadi` и `Kotarmadi`; в каждом — по одному тестовому лиду без прошлых попыток. Других доступных лидов у оператора нет.</t>
        </is>
      </c>
      <c r="E3" s="14" t="inlineStr">
        <is>
          <t>1. Войди под оператором после начала рабочего дня.
2. Открой «Обзвон» и нажми «Начать обзвон».
3. Для каждого выданного лида сразу нажимай «Пауза», затем «Пропустить», чтобы не звонить.
4. Повторяй, пока проверишь все пять лидов.</t>
        </is>
      </c>
      <c r="F3" s="16" t="inlineStr">
        <is>
          <t>High</t>
        </is>
      </c>
      <c r="G3" s="16" t="inlineStr">
        <is>
          <t>Граничный</t>
        </is>
      </c>
      <c r="H3" s="16" t="inlineStr">
        <is>
          <t>UI</t>
        </is>
      </c>
      <c r="I3" s="14" t="inlineStr">
        <is>
          <t>Все пять лидов попадают в очередь как один класс «Не поднял трубку». Ни один вариант апострофа не пропадает.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70" customHeight="1">
      <c r="A4" s="16" t="inlineStr">
        <is>
          <t>TC-067</t>
        </is>
      </c>
      <c r="B4" s="14" t="inlineStr">
        <is>
          <t>Статус со словом Chala попадает в очередь</t>
        </is>
      </c>
      <c r="C4" s="14" t="inlineStr">
        <is>
          <t>Слово `chala` означает незавершённый разговор. Статус может содержать дополнительные слова, но система должна узнать его по ключевому слову.</t>
        </is>
      </c>
      <c r="D4" s="14" t="inlineStr">
        <is>
          <t>В назначенной оператору тестовой воронке есть единственный лид в статусе «Chala gaplashdi — qayta aloqa», прошлых звонков у лида нет.</t>
        </is>
      </c>
      <c r="E4" s="14" t="inlineStr">
        <is>
          <t>1. Войди под оператором и открой «Обзвон».
2. Нажми «Начать обзвон».
3. До окончания таймера нажми «Пауза».
4. Сверь название выданного лида и нажми «Пропустить».</t>
        </is>
      </c>
      <c r="F4" s="16" t="inlineStr">
        <is>
          <t>High</t>
        </is>
      </c>
      <c r="G4" s="16" t="inlineStr">
        <is>
          <t>Позитивный</t>
        </is>
      </c>
      <c r="H4" s="16" t="inlineStr">
        <is>
          <t>UI</t>
        </is>
      </c>
      <c r="I4" s="14" t="inlineStr">
        <is>
          <t>Выдан именно подготовленный лид. Система распознала слово `Chala` внутри более длинного названия.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70" customHeight="1">
      <c r="A5" s="16" t="inlineStr">
        <is>
          <t>TC-068</t>
        </is>
      </c>
      <c r="B5" s="14" t="inlineStr">
        <is>
          <t>Keyingi qo'ng'iroq требует оба слова и наступившее время</t>
        </is>
      </c>
      <c r="C5" s="14" t="inlineStr">
        <is>
          <t>Статус повторного звонка распознаётся только при наличии обоих слов `keyingi` и `qongiroq`; лид доступен, когда согласованное время уже наступило.</t>
        </is>
      </c>
      <c r="D5" s="14" t="inlineStr">
        <is>
          <t>Есть один лид со статусом «Keyingi qo'ng'iroq vaqti» и временем следующего звонка на 5 минут раньше текущего. Других лидов в очереди нет.</t>
        </is>
      </c>
      <c r="E5" s="14" t="inlineStr">
        <is>
          <t>1. Открой «Обзвон» под назначенным оператором.
2. Проверь число лидов в очереди.
3. Нажми «Начать обзвон», сразу нажми «Пауза».
4. Сверь название лида и нажми «Пропустить».</t>
        </is>
      </c>
      <c r="F5" s="16" t="inlineStr">
        <is>
          <t>Critical</t>
        </is>
      </c>
      <c r="G5" s="16" t="inlineStr">
        <is>
          <t>Позитивный</t>
        </is>
      </c>
      <c r="H5" s="16" t="inlineStr">
        <is>
          <t>UI</t>
        </is>
      </c>
      <c r="I5" s="14" t="inlineStr">
        <is>
          <t>Лид присутствует в очереди и выдаётся оператору, потому что оба ключевых слова есть, а время звонка уже наступило.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70" customHeight="1">
      <c r="A6" s="16" t="inlineStr">
        <is>
          <t>TC-069</t>
        </is>
      </c>
      <c r="B6" s="14" t="inlineStr">
        <is>
          <t>Keyingi qo'ng'iroq без времени не выдаётся</t>
        </is>
      </c>
      <c r="C6" s="14" t="inlineStr">
        <is>
          <t>Негативный сценарий: одного названия статуса недостаточно. Без конкретного времени система не знает, когда звонить, поэтому такой лид молча выпадает из очереди.</t>
        </is>
      </c>
      <c r="D6" s="14" t="inlineStr">
        <is>
          <t>В тестовой воронке есть единственный лид в статусе «Keyingi qo'ng'iroq vaqti», поле следующего звонка пустое.</t>
        </is>
      </c>
      <c r="E6" s="14" t="inlineStr">
        <is>
          <t>1. Войди под назначенным оператором.
2. Открой раздел «Обзвон».
3. Посмотри счётчик «лидов в очереди».
4. Нажми «Начать обзвон».</t>
        </is>
      </c>
      <c r="F6" s="16" t="inlineStr">
        <is>
          <t>Critical</t>
        </is>
      </c>
      <c r="G6" s="16" t="inlineStr">
        <is>
          <t>Негативный</t>
        </is>
      </c>
      <c r="H6" s="16" t="inlineStr">
        <is>
          <t>UI</t>
        </is>
      </c>
      <c r="I6" s="14" t="inlineStr">
        <is>
          <t>Счётчик равен нулю, подготовленный лид не выдаётся. Показано сообщение «Очередь пуста», а звонок не начинается.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70" customHeight="1">
      <c r="A7" s="16" t="inlineStr">
        <is>
          <t>TC-070</t>
        </is>
      </c>
      <c r="B7" s="14" t="inlineStr">
        <is>
          <t>Bugun keladi без времени прихода доступен с начала дня</t>
        </is>
      </c>
      <c r="C7" s="14" t="inlineStr">
        <is>
          <t>Если клиент обещал прийти сегодня, но час не указан, очередь использует параметр «Начало рабочего дня» (по умолчанию 08:00 по Ташкенту).</t>
        </is>
      </c>
      <c r="D7" s="14" t="inlineStr">
        <is>
          <t>Проверка выполняется после времени «Начало рабочего дня». Есть единственный лид в статусе «Bugun keladi», поле `call vaqti` пустое.</t>
        </is>
      </c>
      <c r="E7" s="14" t="inlineStr">
        <is>
          <t>1. Войди под назначенным оператором после начала рабочего дня.
2. Открой «Обзвон» и нажми «Начать обзвон».
3. Сразу нажми «Пауза» и сверь название лида.
4. Нажми «Пропустить».</t>
        </is>
      </c>
      <c r="F7" s="16" t="inlineStr">
        <is>
          <t>High</t>
        </is>
      </c>
      <c r="G7" s="16" t="inlineStr">
        <is>
          <t>Позитивный</t>
        </is>
      </c>
      <c r="H7" s="16" t="inlineStr">
        <is>
          <t>UI</t>
        </is>
      </c>
      <c r="I7" s="14" t="inlineStr">
        <is>
          <t>Лид выдан оператору. Пустое время прихода не блокирует его после начала рабочего дня.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96.39999999999999" customHeight="1">
      <c r="A8" s="16" t="inlineStr">
        <is>
          <t>TC-071</t>
        </is>
      </c>
      <c r="B8" s="14" t="inlineStr">
        <is>
          <t>Bugun keladi появляется ровно за заданное время до прихода</t>
        </is>
      </c>
      <c r="C8" s="14" t="inlineStr">
        <is>
          <t>Проверяем границу параметра «Время звонка перед приходом». При значении 60 минут лид не должен появиться раньше, но должен стать доступен на границе.</t>
        </is>
      </c>
      <c r="D8" s="14" t="inlineStr">
        <is>
          <t>Параметр равен 60 минут. Есть лид «Bugun keladi» с полем `call vaqti` на сегодня. Тестировщик может менять тестовое время прихода.</t>
        </is>
      </c>
      <c r="E8" s="14" t="inlineStr">
        <is>
          <t>1. Установи время прихода на 61 минуту позже текущего и обнови «Обзвон».
2. Проверь, что лида нет в очереди.
3. Измени время прихода на 60 минут позже текущего и дождись синхронизации.
4. Обнови «Обзвон» и нажми «Начать обзвон».
5. Поставь таймер на паузу и сверь лида.</t>
        </is>
      </c>
      <c r="F8" s="16" t="inlineStr">
        <is>
          <t>Critical</t>
        </is>
      </c>
      <c r="G8" s="16" t="inlineStr">
        <is>
          <t>Граничный</t>
        </is>
      </c>
      <c r="H8" s="16" t="inlineStr">
        <is>
          <t>UI</t>
        </is>
      </c>
      <c r="I8" s="14" t="inlineStr">
        <is>
          <t>За 61 минуту лид ещё не выдаётся. На границе 60 минут он появляется и может быть взят в работу.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56.8" customHeight="1">
      <c r="A9" s="16" t="inlineStr">
        <is>
          <t>TC-072</t>
        </is>
      </c>
      <c r="B9" s="14" t="inlineStr">
        <is>
          <t>Uchrashuv до дня встречи не попадает в обзвон</t>
        </is>
      </c>
      <c r="C9" s="14" t="inlineStr">
        <is>
          <t>Статус `Uchrashuv` означает, что встреча назначена на будущий день. Звонить сейчас не нужно, поэтому этот класс находится вне очереди.</t>
        </is>
      </c>
      <c r="D9" s="14" t="inlineStr">
        <is>
          <t>Есть единственный лид в статусе «Uchrashuv vaqti» с датой встречи завтра.</t>
        </is>
      </c>
      <c r="E9" s="14" t="inlineStr">
        <is>
          <t>1. Войди под назначенным оператором.
2. Открой «Обзвон».
3. Проверь число лидов и нажми «Начать обзвон».</t>
        </is>
      </c>
      <c r="F9" s="16" t="inlineStr">
        <is>
          <t>High</t>
        </is>
      </c>
      <c r="G9" s="16" t="inlineStr">
        <is>
          <t>Негативный</t>
        </is>
      </c>
      <c r="H9" s="16" t="inlineStr">
        <is>
          <t>UI</t>
        </is>
      </c>
      <c r="I9" s="14" t="inlineStr">
        <is>
          <t>Подготовленный лид не выдаётся; очередь пуста.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43.59999999999999" customHeight="1">
      <c r="A10" s="16" t="inlineStr">
        <is>
          <t>TC-073</t>
        </is>
      </c>
      <c r="B10" s="14" t="inlineStr">
        <is>
          <t>Markazga keldi не попадает в обзвон</t>
        </is>
      </c>
      <c r="C10" s="14" t="inlineStr">
        <is>
          <t>Статус означает, что клиент уже пришёл в центр. Автоматически звонить ему больше не нужно.</t>
        </is>
      </c>
      <c r="D10" s="14" t="inlineStr">
        <is>
          <t>Есть единственный лид в статусе «Markazga keldi».</t>
        </is>
      </c>
      <c r="E10" s="14" t="inlineStr">
        <is>
          <t>1. Открой «Обзвон» под назначенным оператором.
2. Проверь счётчик очереди.
3. Нажми «Начать обзвон».</t>
        </is>
      </c>
      <c r="F10" s="16" t="inlineStr">
        <is>
          <t>High</t>
        </is>
      </c>
      <c r="G10" s="16" t="inlineStr">
        <is>
          <t>Позитивный</t>
        </is>
      </c>
      <c r="H10" s="16" t="inlineStr">
        <is>
          <t>UI</t>
        </is>
      </c>
      <c r="I10" s="14" t="inlineStr">
        <is>
          <t>Лид не находится в очереди и не выдаётся оператору.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43.59999999999999" customHeight="1">
      <c r="A11" s="16" t="inlineStr">
        <is>
          <t>TC-074</t>
        </is>
      </c>
      <c r="B11" s="14" t="inlineStr">
        <is>
          <t>Sifatsiz не возвращается в обзвон</t>
        </is>
      </c>
      <c r="C11" s="14" t="inlineStr">
        <is>
          <t>Sifatsiz — официально отбракованный лид. После такого статуса система не должна снова звонить клиенту.</t>
        </is>
      </c>
      <c r="D11" s="14" t="inlineStr">
        <is>
          <t>Есть единственный лид в статусе «Sifatsiz», блокировок и будущего времени звонка нет.</t>
        </is>
      </c>
      <c r="E11" s="14" t="inlineStr">
        <is>
          <t>1. Войди под оператором и открой «Обзвон».
2. Проверь число лидов в очереди.
3. Нажми «Начать обзвон».</t>
        </is>
      </c>
      <c r="F11" s="16" t="inlineStr">
        <is>
          <t>Critical</t>
        </is>
      </c>
      <c r="G11" s="16" t="inlineStr">
        <is>
          <t>Позитивный</t>
        </is>
      </c>
      <c r="H11" s="16" t="inlineStr">
        <is>
          <t>UI</t>
        </is>
      </c>
      <c r="I11" s="14" t="inlineStr">
        <is>
          <t>Лид не выдаётся ни при каких временных настройках; очередь пуста.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56.8" customHeight="1">
      <c r="A12" s="16" t="inlineStr">
        <is>
          <t>TC-075</t>
        </is>
      </c>
      <c r="B12" s="14" t="inlineStr">
        <is>
          <t>Yangi lid доступен сразу</t>
        </is>
      </c>
      <c r="C12" s="14" t="inlineStr">
        <is>
          <t>Новый лид имеет самый низкий приоритет, но при отсутствии более срочных лидов должен попасть оператору без задержки.</t>
        </is>
      </c>
      <c r="D12" s="14" t="inlineStr">
        <is>
          <t>Есть единственный новый лид в статусе «Yangi lid», воронка назначена оператору.</t>
        </is>
      </c>
      <c r="E12" s="14" t="inlineStr">
        <is>
          <t>1. Открой «Обзвон».
2. Нажми «Начать обзвон».
3. Сразу нажми «Пауза».
4. Сверь название лида и нажми «Пропустить».</t>
        </is>
      </c>
      <c r="F12" s="16" t="inlineStr">
        <is>
          <t>Critical</t>
        </is>
      </c>
      <c r="G12" s="16" t="inlineStr">
        <is>
          <t>Позитивный</t>
        </is>
      </c>
      <c r="H12" s="16" t="inlineStr">
        <is>
          <t>UI</t>
        </is>
      </c>
      <c r="I12" s="14" t="inlineStr">
        <is>
          <t>Новый лид сразу отображается в очереди и выдаётся оператору.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70" customHeight="1">
      <c r="A13" s="16" t="inlineStr">
        <is>
          <t>TC-076</t>
        </is>
      </c>
      <c r="B13" s="14" t="inlineStr">
        <is>
          <t>Неизвестный или пустой статус безопасно исключается</t>
        </is>
      </c>
      <c r="C13" s="14" t="inlineStr">
        <is>
          <t>Если название не содержит известного ключевого слова, система выбирает безопасный вариант: не звонит автоматически по непонятному этапу.</t>
        </is>
      </c>
      <c r="D13" s="14" t="inlineStr">
        <is>
          <t>Есть два тестовых лида: один со статусом «Ожидает документов», второй без связанного локального статуса. Других лидов у оператора нет.</t>
        </is>
      </c>
      <c r="E13" s="14" t="inlineStr">
        <is>
          <t>1. Дождись синхронизации лидов.
2. Открой «Обзвон» под назначенным оператором.
3. Проверь счётчик и нажми «Начать обзвон».</t>
        </is>
      </c>
      <c r="F13" s="16" t="inlineStr">
        <is>
          <t>High</t>
        </is>
      </c>
      <c r="G13" s="16" t="inlineStr">
        <is>
          <t>Негативный</t>
        </is>
      </c>
      <c r="H13" s="16" t="inlineStr">
        <is>
          <t>UI</t>
        </is>
      </c>
      <c r="I13" s="14" t="inlineStr">
        <is>
          <t>Оба лида исключены из очереди. Нет случайного звонка и внутренней ошибки.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70" customHeight="1">
      <c r="A14" s="16" t="inlineStr">
        <is>
          <t>TC-077</t>
        </is>
      </c>
      <c r="B14" s="14" t="inlineStr">
        <is>
          <t>В смешанном названии Bugun важнее Yangi</t>
        </is>
      </c>
      <c r="C14" s="14" t="inlineStr">
        <is>
          <t>Ключевые слова проверяются по порядку. В названии «Yangi lid — bugun keladi» побеждает `bugun`, поэтому применяются правила прихода сегодня.</t>
        </is>
      </c>
      <c r="D14" s="14" t="inlineStr">
        <is>
          <t>Есть лид со статусом «Yangi lid — bugun keladi» и `call vaqti` через 2 часа. Параметр звонка перед приходом равен 60 минут.</t>
        </is>
      </c>
      <c r="E14" s="14" t="inlineStr">
        <is>
          <t>1. Открой «Обзвон» за 2 часа до времени прихода.
2. Проверь, что лид не выдан как обычный новый.
3. Измени время прихода так, чтобы до него осталось 60 минут, и дождись синхронизации.
4. Обнови очередь.</t>
        </is>
      </c>
      <c r="F14" s="16" t="inlineStr">
        <is>
          <t>High</t>
        </is>
      </c>
      <c r="G14" s="16" t="inlineStr">
        <is>
          <t>Граничный</t>
        </is>
      </c>
      <c r="H14" s="16" t="inlineStr">
        <is>
          <t>UI</t>
        </is>
      </c>
      <c r="I14" s="14" t="inlineStr">
        <is>
          <t>Сначала лида нет. На границе он появляется по правилу «Bugun keladi». Система не применяет более поздний класс «Yangi».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70" customHeight="1">
      <c r="A15" s="16" t="inlineStr">
        <is>
          <t>TC-078</t>
        </is>
      </c>
      <c r="B15" s="14" t="inlineStr">
        <is>
          <t>Markazga kelmadi не должен ошибочно означать «пришёл»</t>
        </is>
      </c>
      <c r="C15" s="14" t="inlineStr">
        <is>
          <t>Слово `kelmadi` означает «не пришёл», но текущий поиск по подстроке видит `markaz`. Это проверка противоположного смысла и кандидат в дефект классификации.</t>
        </is>
      </c>
      <c r="D15" s="14" t="inlineStr">
        <is>
          <t>Есть единственный лид со статусом «Markazga kelmadi» — клиент не пришёл в центр.</t>
        </is>
      </c>
      <c r="E15" s="14" t="inlineStr">
        <is>
          <t>1. Открой список «Звонки» и найди подготовленного лида.
2. Открой «Обзвон» и проверь, может ли система продолжить работу с этим лидом.
3. Запиши показанный статус и состояние очереди.</t>
        </is>
      </c>
      <c r="F15" s="16" t="inlineStr">
        <is>
          <t>Critical</t>
        </is>
      </c>
      <c r="G15" s="16" t="inlineStr">
        <is>
          <t>Негативный</t>
        </is>
      </c>
      <c r="H15" s="16" t="inlineStr">
        <is>
          <t>UI</t>
        </is>
      </c>
      <c r="I15" s="14" t="inlineStr">
        <is>
          <t>Система не должна считать клиента пришедшим только из-за слова `markaz`. Если лид исключён как «Markazga keldi», зафиксировать дефект: смысл статуса распознан наоборот.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83.19999999999999" customHeight="1">
      <c r="A16" s="16" t="inlineStr">
        <is>
          <t>TC-079</t>
        </is>
      </c>
      <c r="B16" s="14" t="inlineStr">
        <is>
          <t>Длинное название статуса не ломает распознавание</t>
        </is>
      </c>
      <c r="C16" s="14" t="inlineStr">
        <is>
          <t>Проверяем статус с большим пояснением. Ключевое слово может находиться в конце, но сервер не должен зависнуть или потерять лид.</t>
        </is>
      </c>
      <c r="D16" s="14" t="inlineStr">
        <is>
          <t>В тестовой AmoCRM создано допустимое ею длинное название примерно из 200 символов, которое заканчивается словами «Yangi lid». В этом статусе один лид.</t>
        </is>
      </c>
      <c r="E16" s="14" t="inlineStr">
        <is>
          <t>1. Запусти синхронизацию воронки и дождись её окончания.
2. Открой список «Звонки» и убедись, что длинное название отображается без поломки страницы.
3. Открой «Обзвон» и возьми следующего лида.
4. Поставь таймер на паузу и сверь лида.</t>
        </is>
      </c>
      <c r="F16" s="16" t="inlineStr">
        <is>
          <t>Medium</t>
        </is>
      </c>
      <c r="G16" s="16" t="inlineStr">
        <is>
          <t>Граничный</t>
        </is>
      </c>
      <c r="H16" s="16" t="inlineStr">
        <is>
          <t>UI</t>
        </is>
      </c>
      <c r="I16" s="14" t="inlineStr">
        <is>
          <t>Интерфейс остаётся рабочим, текст не перекрывает кнопки. Лид распознан как `Yangi` по ключевому слову в конце и выдаётся один раз.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83.19999999999999" customHeight="1">
      <c r="A17" s="16" t="inlineStr">
        <is>
          <t>TC-080</t>
        </is>
      </c>
      <c r="B17" s="14" t="inlineStr">
        <is>
          <t>Только точное имя поля call vaqti задаёт время прихода</t>
        </is>
      </c>
      <c r="C17" s="14" t="inlineStr">
        <is>
          <t>Дата прихода ищется по имени поля, а не по похожему смыслу. Сравниваем правильное `call vaqti` и похожее `call vaqti izoh`.</t>
        </is>
      </c>
      <c r="D17" s="14" t="inlineStr">
        <is>
          <t>Есть два лида «Bugun keladi». У первого заполнено поле `call vaqti`, у второго — только похожее поле `call vaqti izoh`; значения стоят на 2 часа позже текущего времени.</t>
        </is>
      </c>
      <c r="E17" s="14" t="inlineStr">
        <is>
          <t>1. Дождись синхронизации обоих лидов.
2. Открой «Обзвон» при параметре «Время звонка перед приходом» = 60 минут.
3. Проверь, какой из двух лидов доступен сразу.
4. Через API карточки либо с помощью разработчика сверяй поле `arrival_at` у обоих лидов.</t>
        </is>
      </c>
      <c r="F17" s="16" t="inlineStr">
        <is>
          <t>High</t>
        </is>
      </c>
      <c r="G17" s="16" t="inlineStr">
        <is>
          <t>Негативный</t>
        </is>
      </c>
      <c r="H17" s="16" t="inlineStr">
        <is>
          <t>UI+API</t>
        </is>
      </c>
      <c r="I17" s="14" t="inlineStr">
        <is>
          <t>У первого лида `arrival_at` заполнено, и он ждёт границы 60 минут. У второго `arrival_at` пустое: похожее имя проигнорировано, поэтому после начала рабочего дня он доступен как лид без указанного часа. Ошибки нет.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70" customHeight="1">
      <c r="A18" s="16" t="inlineStr">
        <is>
          <t>TC-081</t>
        </is>
      </c>
      <c r="B18" s="14" t="inlineStr">
        <is>
          <t>Только точное имя поля uchrashuv vaqti задаёт дату встречи</t>
        </is>
      </c>
      <c r="C18" s="14" t="inlineStr">
        <is>
          <t>Сравниваем правильное поле встречи и похожее имя. Ошибка в названии не должна случайно запускать автоматический переход.</t>
        </is>
      </c>
      <c r="D18" s="14" t="inlineStr">
        <is>
          <t>Есть два лида в статусе «Uchrashuv». У первого заполнено `uchrashuv vaqti`, у второго — только `uchrashuv sanasi`; обе даты — сегодня.</t>
        </is>
      </c>
      <c r="E18" s="14" t="inlineStr">
        <is>
          <t>1. Дождись синхронизации.
2. Через API карточки либо с помощью разработчика проверь `appointment_at` у обоих лидов.
3. Дождись прохода фонового процесса (до 5 минут).
4. Обнови статусы обоих лидов в списке.</t>
        </is>
      </c>
      <c r="F18" s="16" t="inlineStr">
        <is>
          <t>High</t>
        </is>
      </c>
      <c r="G18" s="16" t="inlineStr">
        <is>
          <t>Негативный</t>
        </is>
      </c>
      <c r="H18" s="16" t="inlineStr">
        <is>
          <t>UI+API</t>
        </is>
      </c>
      <c r="I18" s="14" t="inlineStr">
        <is>
          <t>У первого `appointment_at` заполнено и его статус может перейти в «Bugun keladi». У второго поле пустое и перехода нет; похожее имя не принято за точное.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70" customHeight="1">
      <c r="A19" s="16" t="inlineStr">
        <is>
          <t>TC-082</t>
        </is>
      </c>
      <c r="B19" s="14" t="inlineStr">
        <is>
          <t>В день встречи Uchrashuv автоматически становится Bugun keladi</t>
        </is>
      </c>
      <c r="C19" s="14" t="inlineStr">
        <is>
          <t>Фоновый процесс раз в 5 минут переводит сегодняшние встречи в статус «Придёт сегодня» той же воронки и отправляет изменение в AmoCRM.</t>
        </is>
      </c>
      <c r="D19" s="14" t="inlineStr">
        <is>
          <t>В тестовой воронке есть статусы `Uchrashuv vaqti` и `Bugun keladi`. У лида дата `uchrashuv vaqti` — сегодня; время перехода уже наступило.</t>
        </is>
      </c>
      <c r="E19" s="14" t="inlineStr">
        <is>
          <t>1. Запиши текущий статус лида в Operator AI и AmoCRM.
2. Подожди до 5 минут, не меняя лид вручную.
3. Обнови список «Звонки» и карточку лида в AmoCRM.
4. Проверь новый статус и воронку.</t>
        </is>
      </c>
      <c r="F19" s="16" t="inlineStr">
        <is>
          <t>Critical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Статус один раз меняется на «Bugun keladi» в той же воронке. Одинаковое значение видно в Operator AI и AmoCRM.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70" customHeight="1">
      <c r="A20" s="16" t="inlineStr">
        <is>
          <t>TC-083</t>
        </is>
      </c>
      <c r="B20" s="14" t="inlineStr">
        <is>
          <t>Без статуса Bugun автоматический переход безопасно пропускается</t>
        </is>
      </c>
      <c r="C20" s="14" t="inlineStr">
        <is>
          <t>Если клиент неправильно настроил воронку и в ней нет статуса со словом `bugun`, система не должна переносить лид в чужую воронку или произвольный статус.</t>
        </is>
      </c>
      <c r="D20" s="14" t="inlineStr">
        <is>
          <t>Есть отдельная тестовая воронка со статусом `Uchrashuv`, но без любого статуса, содержащего `bugun`. Дата встречи лида — сегодня.</t>
        </is>
      </c>
      <c r="E20" s="14" t="inlineStr">
        <is>
          <t>1. Запиши исходный статус и воронку лида.
2. Подожди два прохода фонового процесса (до 10 минут).
3. Обнови лид в Operator AI и AmoCRM.</t>
        </is>
      </c>
      <c r="F20" s="16" t="inlineStr">
        <is>
          <t>High</t>
        </is>
      </c>
      <c r="G20" s="16" t="inlineStr">
        <is>
          <t>Негативный</t>
        </is>
      </c>
      <c r="H20" s="16" t="inlineStr">
        <is>
          <t>UI</t>
        </is>
      </c>
      <c r="I20" s="14" t="inlineStr">
        <is>
          <t>Лид остаётся в исходном статусе и той же воронке. Не появляется дубль, не выбирается похожий статус из другой воронки, сервер продолжает работать.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83.19999999999999" customHeight="1">
      <c r="A21" s="16" t="inlineStr">
        <is>
          <t>TC-084</t>
        </is>
      </c>
      <c r="B21" s="14" t="inlineStr">
        <is>
          <t>Четыре недозвона переводят Ko'tarmadi в Sifatsiz</t>
        </is>
      </c>
      <c r="C21" s="14" t="inlineStr">
        <is>
          <t>Критичное правило жизненного цикла: после исчерпания бюджета попыток лид официально отбраковывается, а не остаётся незаметно зависшим.</t>
        </is>
      </c>
      <c r="D21" s="14" t="inlineStr">
        <is>
          <t>В тестовой воронке есть `Ko'tarmadi` и `Sifatsiz`. У тестового лида счётчик попыток равен 3. Четвёртая попытка выполняется на staging с тестовым номером.</t>
        </is>
      </c>
      <c r="E21" s="14" t="inlineStr">
        <is>
          <t>1. Выполни четвёртую попытку звонка и подтверди результат `Ko'tarmadi`.
2. В списке «Звонки» проверь, что «Попытки» стало 4.
3. Подожди до 5 минут.
4. Обнови лид в Operator AI и AmoCRM.
5. Попробуй получить этого лида через «Обзвон».</t>
        </is>
      </c>
      <c r="F21" s="16" t="inlineStr">
        <is>
          <t>Critical</t>
        </is>
      </c>
      <c r="G21" s="16" t="inlineStr">
        <is>
          <t>Позитивный</t>
        </is>
      </c>
      <c r="H21" s="16" t="inlineStr">
        <is>
          <t>UI</t>
        </is>
      </c>
      <c r="I21" s="14" t="inlineStr">
        <is>
          <t>Статус один раз меняется на `Sifatsiz` в той же воронке и доезжает до AmoCRM. Лид больше не выдаётся в обзвон.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70" customHeight="1">
      <c r="A22" s="16" t="inlineStr">
        <is>
          <t>TC-085</t>
        </is>
      </c>
      <c r="B22" s="14" t="inlineStr">
        <is>
          <t>Без статуса Sifatsiz исчерпанный лид не переносится куда попало</t>
        </is>
      </c>
      <c r="C22" s="14" t="inlineStr">
        <is>
          <t>Неверно настроенная воронка не должна приводить к выбору статуса из другой воронки или удалению лида.</t>
        </is>
      </c>
      <c r="D22" s="14" t="inlineStr">
        <is>
          <t>Есть тестовая воронка с `Ko'tarmadi`, но без статуса, содержащего `sifatsiz`. У лида 4 попытки.</t>
        </is>
      </c>
      <c r="E22" s="14" t="inlineStr">
        <is>
          <t>1. Запиши статус и воронку лида.
2. Подожди два прохода фонового процесса (до 10 минут).
3. Обнови лид в Operator AI и AmoCRM.
4. Проверь очередь обзвона.</t>
        </is>
      </c>
      <c r="F22" s="16" t="inlineStr">
        <is>
          <t>Critical</t>
        </is>
      </c>
      <c r="G22" s="16" t="inlineStr">
        <is>
          <t>Негативный</t>
        </is>
      </c>
      <c r="H22" s="16" t="inlineStr">
        <is>
          <t>UI</t>
        </is>
      </c>
      <c r="I22" s="14" t="inlineStr">
        <is>
          <t>Лид остаётся в `Ko'tarmadi`, не переносится в другую воронку и не удаляется. Из-за лимита 4 он не выдаётся в обзвон; сервер не падает.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83.19999999999999" customHeight="1">
      <c r="A23" s="16" t="inlineStr">
        <is>
          <t>TC-086</t>
        </is>
      </c>
      <c r="B23" s="14" t="inlineStr">
        <is>
          <t>Оператору нельзя выбрать Yangi или Sifatsiz как итог звонка</t>
        </is>
      </c>
      <c r="C23" s="14" t="inlineStr">
        <is>
          <t>`Yangi` — входящий этап, а `Sifatsiz` назначается правилом четырёх недозвонов или человеком в AmoCRM. Они не являются обычным итогом разговора.</t>
        </is>
      </c>
      <c r="D23" s="14" t="inlineStr">
        <is>
          <t>В воронке лида есть статусы `Yangi lid`, `Sifatsiz`, `Chala gaplashdi` и `Keyingi qo'ng'iroq vaqti`. Оператор завершил тестовый звонок.</t>
        </is>
      </c>
      <c r="E23" s="14" t="inlineStr">
        <is>
          <t>1. На экране «Итог разговора — подтвердите» раскрой список статусов.
2. Просмотри все варианты.
3. Найди `Chala gaplashdi` и `Keyingi qo'ng'iroq vaqti`.
4. Проверь наличие `Yangi lid` и `Sifatsiz`.</t>
        </is>
      </c>
      <c r="F23" s="16" t="inlineStr">
        <is>
          <t>Critical</t>
        </is>
      </c>
      <c r="G23" s="16" t="inlineStr">
        <is>
          <t>Негативный</t>
        </is>
      </c>
      <c r="H23" s="16" t="inlineStr">
        <is>
          <t>UI</t>
        </is>
      </c>
      <c r="I23" s="14" t="inlineStr">
        <is>
          <t>`Chala` и `Keyingi` доступны. `Yangi lid` и `Sifatsiz` в списке отсутствуют, их нельзя отправить как итог звонка.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43.59999999999999" customHeight="1">
      <c r="A24" s="16" t="inlineStr">
        <is>
          <t>TC-087</t>
        </is>
      </c>
      <c r="B24" s="14" t="inlineStr">
        <is>
          <t>Успешно закрытый статус AmoCRM 142 не возвращается в очередь</t>
        </is>
      </c>
      <c r="C24" s="14" t="inlineStr">
        <is>
          <t>Системный статус 142 означает, что сделка успешно завершена. Повторный звонок такому клиенту был бы ошибкой.</t>
        </is>
      </c>
      <c r="D24" s="14" t="inlineStr">
        <is>
          <t>Есть единственный лид в системном статусе AmoCRM 142 «Успешно реализовано».</t>
        </is>
      </c>
      <c r="E24" s="14" t="inlineStr">
        <is>
          <t>1. Дождись синхронизации статуса.
2. Открой «Обзвон» под назначенным оператором.
3. Проверь счётчик и нажми «Начать обзвон».</t>
        </is>
      </c>
      <c r="F24" s="16" t="inlineStr">
        <is>
          <t>Critical</t>
        </is>
      </c>
      <c r="G24" s="16" t="inlineStr">
        <is>
          <t>Позитивный</t>
        </is>
      </c>
      <c r="H24" s="16" t="inlineStr">
        <is>
          <t>UI</t>
        </is>
      </c>
      <c r="I24" s="14" t="inlineStr">
        <is>
          <t>Лид не находится в очереди и не выдаётся оператору.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83.19999999999999" customHeight="1">
      <c r="A25" s="16" t="inlineStr">
        <is>
          <t>TC-088</t>
        </is>
      </c>
      <c r="B25" s="14" t="inlineStr">
        <is>
          <t>Статус AmoCRM 143 возвращается в работу по требованию</t>
        </is>
      </c>
      <c r="C25" s="14" t="inlineStr">
        <is>
          <t>По решению продукта отказ клиента на этот раз не завершает работу навсегда. Текущий код исключает 143 из очереди — кейс подтверждает или опровергает кандидат BUG-013.</t>
        </is>
      </c>
      <c r="D25" s="14" t="inlineStr">
        <is>
          <t>Есть единственный лид в системном статусе AmoCRM 143 «Закрыто и не реализовано». По согласованному требованию он должен продолжать обзвон до статуса 142.</t>
        </is>
      </c>
      <c r="E25" s="14" t="inlineStr">
        <is>
          <t>1. Дождись синхронизации статуса 143.
2. Открой «Обзвон» под назначенным оператором.
3. Проверь счётчик и попытайся получить следующего лида.
4. Запиши фактическое поведение.</t>
        </is>
      </c>
      <c r="F25" s="16" t="inlineStr">
        <is>
          <t>Critical</t>
        </is>
      </c>
      <c r="G25" s="16" t="inlineStr">
        <is>
          <t>Негативный</t>
        </is>
      </c>
      <c r="H25" s="16" t="inlineStr">
        <is>
          <t>UI</t>
        </is>
      </c>
      <c r="I25" s="14" t="inlineStr">
        <is>
          <t>Лид возвращается в очередь и может быть выдан оператору. Если очередь его исключает, воспроизведён BUG-013 — приложить скриншот и сетевой ответ.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  <row r="26" ht="83.19999999999999" customHeight="1">
      <c r="A26" s="16" t="inlineStr">
        <is>
          <t>TC-089</t>
        </is>
      </c>
      <c r="B26" s="14" t="inlineStr">
        <is>
          <t>Повторный проход фонового процесса не дублирует переход</t>
        </is>
      </c>
      <c r="C26" s="14" t="inlineStr">
        <is>
          <t>Фоновая проверка запускается каждые 5 минут. Один и тот же лид не должен несколько раз менять статус или порождать повторные записи в AmoCRM.</t>
        </is>
      </c>
      <c r="D26" s="14" t="inlineStr">
        <is>
          <t>Лид готов к переходу `Uchrashuv → Bugun keladi` либо `Ko'tarmadi → Sifatsiz`. Есть доступ к истории изменений тестового лида в AmoCRM.</t>
        </is>
      </c>
      <c r="E26" s="14" t="inlineStr">
        <is>
          <t>1. Дождись первого автоматического перехода и запиши его время.
2. Не меняй лид вручную.
3. Подожди ещё два прохода процесса (10 минут).
4. Открой историю изменений лида в AmoCRM.
5. Обнови список Operator AI.</t>
        </is>
      </c>
      <c r="F26" s="16" t="inlineStr">
        <is>
          <t>High</t>
        </is>
      </c>
      <c r="G26" s="16" t="inlineStr">
        <is>
          <t>Негативный</t>
        </is>
      </c>
      <c r="H26" s="16" t="inlineStr">
        <is>
          <t>UI</t>
        </is>
      </c>
      <c r="I26" s="14" t="inlineStr">
        <is>
          <t>В истории ровно одно автоматическое изменение на целевой статус. Нет дубликата лида, повторных одинаковых записей или скачков между статусами.</t>
        </is>
      </c>
      <c r="J26" s="14" t="inlineStr"/>
      <c r="K26" s="16" t="inlineStr">
        <is>
          <t>Not Run</t>
        </is>
      </c>
      <c r="L26" s="16" t="inlineStr">
        <is>
          <t>—</t>
        </is>
      </c>
    </row>
    <row r="27" ht="96.39999999999999" customHeight="1">
      <c r="A27" s="16" t="inlineStr">
        <is>
          <t>TC-090</t>
        </is>
      </c>
      <c r="B27" s="14" t="inlineStr">
        <is>
          <t>Изменение статуса в AmoCRM появляется без перезагрузки</t>
        </is>
      </c>
      <c r="C27" s="14" t="inlineStr">
        <is>
          <t>Список сделок получает обновления в реальном времени. Человеку не нужно постоянно обновлять страницу, чтобы увидеть новый статус.</t>
        </is>
      </c>
      <c r="D27" s="14" t="inlineStr">
        <is>
          <t>В браузере под оператором открыт раздел «Звонки». В другой вкладке открыта тестовая AmoCRM с тем же лидом. Сетевое соединение стабильно.</t>
        </is>
      </c>
      <c r="E27" s="14" t="inlineStr">
        <is>
          <t>1. Запиши текущий статус лида в Operator AI.
2. В AmoCRM измени статус на другой известный статус этой воронки.
3. Не обновляй страницу Operator AI вручную.
4. Подожди до фоновой синхронизации и наблюдай строку лида.
5. Повтори изменение ещё один раз.</t>
        </is>
      </c>
      <c r="F27" s="16" t="inlineStr">
        <is>
          <t>High</t>
        </is>
      </c>
      <c r="G27" s="16" t="inlineStr">
        <is>
          <t>Позитивный</t>
        </is>
      </c>
      <c r="H27" s="16" t="inlineStr">
        <is>
          <t>UI</t>
        </is>
      </c>
      <c r="I27" s="14" t="inlineStr">
        <is>
          <t>Строка показывает каждый новый статус без ручной перезагрузки и без дублирования лида. Последнее значение совпадает с AmoCRM.</t>
        </is>
      </c>
      <c r="J27" s="14" t="inlineStr"/>
      <c r="K27" s="16" t="inlineStr">
        <is>
          <t>Not Run</t>
        </is>
      </c>
      <c r="L27" s="16" t="inlineStr">
        <is>
          <t>—</t>
        </is>
      </c>
    </row>
    <row r="28" ht="109.6" customHeight="1">
      <c r="A28" s="16" t="inlineStr">
        <is>
          <t>TC-091</t>
        </is>
      </c>
      <c r="B28" s="14" t="inlineStr">
        <is>
          <t>Список лидов восстанавливается после потери сети</t>
        </is>
      </c>
      <c r="C28" s="14" t="inlineStr">
        <is>
          <t>Проверяем отрицательный сценарий: временная потеря интернета не должна показывать устаревшие данные как свежие или ломать страницу навсегда.</t>
        </is>
      </c>
      <c r="D28" s="14" t="inlineStr">
        <is>
          <t>Под оператором открыт раздел «Звонки», тестовый лид виден в таблице.</t>
        </is>
      </c>
      <c r="E28" s="14" t="inlineStr">
        <is>
          <t>1. В инструментах браузера включи Offline.
2. Обнови страницу или дождись очередного обновления данных.
3. Проверь сообщение на экране.
4. В AmoCRM измени статус тестового лида.
5. Верни сеть в режим Online.
6. Дождись автоматического переподключения либо обнови страницу один раз.</t>
        </is>
      </c>
      <c r="F28" s="16" t="inlineStr">
        <is>
          <t>High</t>
        </is>
      </c>
      <c r="G28" s="16" t="inlineStr">
        <is>
          <t>Негативный</t>
        </is>
      </c>
      <c r="H28" s="16" t="inlineStr">
        <is>
          <t>UI</t>
        </is>
      </c>
      <c r="I28" s="14" t="inlineStr">
        <is>
          <t>Без сети показана понятная ошибка «Не удалось загрузить сделки», страница не падает. После восстановления соединения список снова загружается и показывает актуальный статус без дубликатов.</t>
        </is>
      </c>
      <c r="J28" s="14" t="inlineStr"/>
      <c r="K28" s="16" t="inlineStr">
        <is>
          <t>Not Run</t>
        </is>
      </c>
      <c r="L28" s="16" t="inlineStr">
        <is>
          <t>—</t>
        </is>
      </c>
    </row>
  </sheetData>
  <autoFilter ref="A1:L28"/>
  <conditionalFormatting sqref="K2:K5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8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8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8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96.39999999999999" customHeight="1">
      <c r="A2" s="16" t="inlineStr">
        <is>
          <t>TC-092</t>
        </is>
      </c>
      <c r="B2" s="14" t="inlineStr">
        <is>
          <t>Счётчик показывает только доступные лиды оператора</t>
        </is>
      </c>
      <c r="C2" s="14" t="inlineStr">
        <is>
          <t>Проверяем число над подписью «лидов в очереди». В него должны входить только лиды из назначенных оператору воронок, у которых уже наступило время звонка. Закрытые, удалённые, отложенные и занятые другим оператором лиды не считаются.</t>
        </is>
      </c>
      <c r="D2" s="14" t="inlineStr">
        <is>
          <t>Для оператора подготовлена отдельная тестовая воронка. В ней ровно 3 доступных лида и по одному закрытому, удалённому и отложенному лиду. Другие операторы тестовую воронку сейчас не обзванивают.</t>
        </is>
      </c>
      <c r="E2" s="14" t="inlineStr">
        <is>
          <t>1. Войди под тестовым оператором.
2. В левом меню открой «Режим звонков» — экран с заголовком «Обзвон».
3. Посмотри число над подписью «лидов в очереди».
4. Сверь имена трёх доступных лидов с подготовленным списком.</t>
        </is>
      </c>
      <c r="F2" s="16" t="inlineStr">
        <is>
          <t>High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Счётчик равен 3. Закрытый, удалённый, отложенный и недоступный оператору лиды в это число не входят.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83.19999999999999" customHeight="1">
      <c r="A3" s="16" t="inlineStr">
        <is>
          <t>TC-093</t>
        </is>
      </c>
      <c r="B3" s="14" t="inlineStr">
        <is>
          <t>Счётчик очереди обновляется каждые 30 секунд</t>
        </is>
      </c>
      <c r="C3" s="14" t="inlineStr">
        <is>
          <t>Экран «Обзвон» сам обновляет число лидов раз в 30 секунд, пока окно обзвона закрыто. Проверяем, что новый лид появляется без перезагрузки страницы.</t>
        </is>
      </c>
      <c r="D3" s="14" t="inlineStr">
        <is>
          <t>Под оператором открыт экран «Обзвон». РОП может добавить тестовый лид в назначенную этому оператору воронку. Окно с инструкцией перед звонком закрыто.</t>
        </is>
      </c>
      <c r="E3" s="14" t="inlineStr">
        <is>
          <t>1. Запиши текущее число «лидов в очереди».
2. В AmoCRM создай доступный сейчас тестовый лид со статусом «Yangi lid».
3. Не обновляй страницу Operator AI.
4. Подожди 35 секунд и снова посмотри на число.</t>
        </is>
      </c>
      <c r="F3" s="16" t="inlineStr">
        <is>
          <t>Medium</t>
        </is>
      </c>
      <c r="G3" s="16" t="inlineStr">
        <is>
          <t>Граничный</t>
        </is>
      </c>
      <c r="H3" s="16" t="inlineStr">
        <is>
          <t>UI</t>
        </is>
      </c>
      <c r="I3" s="14" t="inlineStr">
        <is>
          <t>Не позднее чем через 30–35 секунд счётчик увеличивается на 1. Страница не мигает и не создаёт дубликат лида.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109.6" customHeight="1">
      <c r="A4" s="16" t="inlineStr">
        <is>
          <t>TC-094</t>
        </is>
      </c>
      <c r="B4" s="14" t="inlineStr">
        <is>
          <t>Очередь соблюдает порядок пяти классов</t>
        </is>
      </c>
      <c r="C4" s="14" t="inlineStr">
        <is>
          <t>Главное правило выбора следующего лида: сначала «Bugun keladi», затем «Keyingi qo'ng'iroq», «Chala gaplashdi», «Ko'tarmadi» и в конце «Yangi lid». Проверяем весь порядок на одном наборе данных.</t>
        </is>
      </c>
      <c r="D4" s="14" t="inlineStr">
        <is>
          <t>В одной назначенной оператору воронке подготовлено по одному доступному сейчас лиду каждого из пяти классов. Имена лидов начинаются с номера ожидаемого порядка: 1-Bugun, 2-Keyingi, 3-Chala, 4-Kotarmadi, 5-Yangi.</t>
        </is>
      </c>
      <c r="E4" s="14" t="inlineStr">
        <is>
          <t>1. Войди под оператором и открой «Обзвон».
2. Нажми «Начать обзвон».
3. Запиши имя выданного лида и нажми «Пропустить».
4. Повтори предыдущий шаг, пока не увидишь все пять тестовых лидов.
5. Сравни записанный порядок с номерами в именах.</t>
        </is>
      </c>
      <c r="F4" s="16" t="inlineStr">
        <is>
          <t>Critical</t>
        </is>
      </c>
      <c r="G4" s="16" t="inlineStr">
        <is>
          <t>Позитивный</t>
        </is>
      </c>
      <c r="H4" s="16" t="inlineStr">
        <is>
          <t>UI</t>
        </is>
      </c>
      <c r="I4" s="14" t="inlineStr">
        <is>
          <t>Лиды выдаются строго так: 1-Bugun, 2-Keyingi, 3-Chala, 4-Kotarmadi, 5-Yangi. Пропущенный лид не появляется снова в этом же проходе.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70" customHeight="1">
      <c r="A5" s="16" t="inlineStr">
        <is>
          <t>TC-095</t>
        </is>
      </c>
      <c r="B5" s="14" t="inlineStr">
        <is>
          <t>При равном приоритете раньше выдаётся более старый лид</t>
        </is>
      </c>
      <c r="C5" s="14" t="inlineStr">
        <is>
          <t>Если два лида относятся к одному классу, очередь выбирает того, чьё время звонка наступило раньше. Для двух новых лидов выбирается созданный раньше.</t>
        </is>
      </c>
      <c r="D5" s="14" t="inlineStr">
        <is>
          <t>В тестовой воронке нет других доступных лидов. Есть два лида одного класса: «QA-старый» стал доступен раньше, «QA-новый» — позже.</t>
        </is>
      </c>
      <c r="E5" s="14" t="inlineStr">
        <is>
          <t>1. Открой «Обзвон» под назначенным оператором.
2. Нажми «Начать обзвон».
3. Сразу нажми «Пауза», чтобы звонок не начался.
4. Посмотри имя выданного лида.</t>
        </is>
      </c>
      <c r="F5" s="16" t="inlineStr">
        <is>
          <t>High</t>
        </is>
      </c>
      <c r="G5" s="16" t="inlineStr">
        <is>
          <t>Граничный</t>
        </is>
      </c>
      <c r="H5" s="16" t="inlineStr">
        <is>
          <t>UI</t>
        </is>
      </c>
      <c r="I5" s="14" t="inlineStr">
        <is>
          <t>Первым выдан «QA-старый». Порядок не меняется после обновления страницы.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83.19999999999999" customHeight="1">
      <c r="A6" s="16" t="inlineStr">
        <is>
          <t>TC-096</t>
        </is>
      </c>
      <c r="B6" s="14" t="inlineStr">
        <is>
          <t>Будущее время звонка откладывает даже приоритетный лид</t>
        </is>
      </c>
      <c r="C6" s="14" t="inlineStr">
        <is>
          <t>Явно назначенное будущее время имеет силу для любого класса. Даже лид «Bugun keladi» не должен попасть в работу раньше этого времени.</t>
        </is>
      </c>
      <c r="D6" s="14" t="inlineStr">
        <is>
          <t>Есть два лида: «QA-Bugun-отложен» со статусом «Bugun keladi» и временем следующего звонка через 30 минут; «QA-Yangi-сейчас» доступен сейчас. Других лидов нет.</t>
        </is>
      </c>
      <c r="E6" s="14" t="inlineStr">
        <is>
          <t>1. Открой «Обзвон» под оператором.
2. Нажми «Начать обзвон» и сразу «Пауза».
3. Посмотри имя лида.
4. Проверь счётчик очереди.</t>
        </is>
      </c>
      <c r="F6" s="16" t="inlineStr">
        <is>
          <t>Critical</t>
        </is>
      </c>
      <c r="G6" s="16" t="inlineStr">
        <is>
          <t>Негативный</t>
        </is>
      </c>
      <c r="H6" s="16" t="inlineStr">
        <is>
          <t>UI</t>
        </is>
      </c>
      <c r="I6" s="14" t="inlineStr">
        <is>
          <t>Выдан «QA-Yangi-сейчас». Отложенный приоритетный лид не выдан и не включён в текущий счётчик до наступления назначенного времени.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96.39999999999999" customHeight="1">
      <c r="A7" s="16" t="inlineStr">
        <is>
          <t>TC-097</t>
        </is>
      </c>
      <c r="B7" s="14" t="inlineStr">
        <is>
          <t>Оператор получает лиды только назначенной воронки</t>
        </is>
      </c>
      <c r="C7" s="14" t="inlineStr">
        <is>
          <t>РОП связывает оператора с воронкой на экране «Настройка очереди». Лиды из невыбранной воронки не должны попадать этому оператору.</t>
        </is>
      </c>
      <c r="D7" s="14" t="inlineStr">
        <is>
          <t>У РОП есть две тестовые воронки A и B, в каждой по одному доступному лиду. Оператору назначена только воронка A.</t>
        </is>
      </c>
      <c r="E7" s="14" t="inlineStr">
        <is>
          <t>1. Войди под РОП и открой «Настройка очереди».
2. В карточке оператора проверь: плашка воронки A синяя с галочкой, B — контурная с плюсом.
3. Выйди и войди под этим оператором.
4. Открой «Обзвон», нажми «Начать обзвон» и поставь таймер на паузу.
5. Проверь имя и воронку выданного лида.</t>
        </is>
      </c>
      <c r="F7" s="16" t="inlineStr">
        <is>
          <t>Critical</t>
        </is>
      </c>
      <c r="G7" s="16" t="inlineStr">
        <is>
          <t>Позитивный</t>
        </is>
      </c>
      <c r="H7" s="16" t="inlineStr">
        <is>
          <t>UI</t>
        </is>
      </c>
      <c r="I7" s="14" t="inlineStr">
        <is>
          <t>Оператор получает только лида из воронки A. Лид из B не входит в его счётчик и не выдаётся.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83.19999999999999" customHeight="1">
      <c r="A8" s="16" t="inlineStr">
        <is>
          <t>TC-098</t>
        </is>
      </c>
      <c r="B8" s="14" t="inlineStr">
        <is>
          <t>Оператор работает с несколькими назначенными воронками</t>
        </is>
      </c>
      <c r="C8" s="14" t="inlineStr">
        <is>
          <t>Один оператор может быть связан сразу с несколькими воронками. Проверяем, что лиды обеих воронок участвуют в одной общей очереди по обычному приоритету.</t>
        </is>
      </c>
      <c r="D8" s="14" t="inlineStr">
        <is>
          <t>У РОП две тестовые воронки A и B. В A есть доступный «Yangi lid», в B — доступный «Bugun keladi». Оба назначения включены для одного оператора.</t>
        </is>
      </c>
      <c r="E8" s="14" t="inlineStr">
        <is>
          <t>1. Под РОП открой «Настройка очереди» и убедись, что обе плашки воронок синие с галочкой.
2. Войди под оператором и открой «Обзвон».
3. Проверь, что счётчик включает оба лида.
4. Нажми «Начать обзвон» и сразу «Пауза».
5. Посмотри, из какой воронки пришёл первый лид.</t>
        </is>
      </c>
      <c r="F8" s="16" t="inlineStr">
        <is>
          <t>High</t>
        </is>
      </c>
      <c r="G8" s="16" t="inlineStr">
        <is>
          <t>Позитивный</t>
        </is>
      </c>
      <c r="H8" s="16" t="inlineStr">
        <is>
          <t>UI</t>
        </is>
      </c>
      <c r="I8" s="14" t="inlineStr">
        <is>
          <t>В счётчике 2 лида. Первым выдан «Bugun keladi» из воронки B, потому что приоритет класса важнее принадлежности к воронке.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96.39999999999999" customHeight="1">
      <c r="A9" s="16" t="inlineStr">
        <is>
          <t>TC-099</t>
        </is>
      </c>
      <c r="B9" s="14" t="inlineStr">
        <is>
          <t>Снятие назначения сразу закрывает воронку оператору</t>
        </is>
      </c>
      <c r="C9" s="14" t="inlineStr">
        <is>
          <t>После снятия галочки в «Настройке очереди» новые лиды этой воронки больше не должны выдаваться оператору.</t>
        </is>
      </c>
      <c r="D9" s="14" t="inlineStr">
        <is>
          <t>Оператору назначена тестовая воронка с одним доступным лидом. У оператора нет незавершённой сессии обзвона.</t>
        </is>
      </c>
      <c r="E9" s="14" t="inlineStr">
        <is>
          <t>1. Под РОП открой «Настройка очереди».
2. Нажми синюю плашку тестовой воронки в карточке оператора.
3. Дождись сообщения «Сохранено» и проверь, что плашка стала контурной с плюсом.
4. Войди под оператором и открой «Обзвон».
5. Проверь счётчик и нажми «Начать обзвон».</t>
        </is>
      </c>
      <c r="F9" s="16" t="inlineStr">
        <is>
          <t>Critical</t>
        </is>
      </c>
      <c r="G9" s="16" t="inlineStr">
        <is>
          <t>Негативный</t>
        </is>
      </c>
      <c r="H9" s="16" t="inlineStr">
        <is>
          <t>UI</t>
        </is>
      </c>
      <c r="I9" s="14" t="inlineStr">
        <is>
          <t>Лид снятой воронки не входит в счётчик и не выдаётся оператору.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96.39999999999999" customHeight="1">
      <c r="A10" s="16" t="inlineStr">
        <is>
          <t>TC-100</t>
        </is>
      </c>
      <c r="B10" s="14" t="inlineStr">
        <is>
          <t>Два оператора одновременно получают разных лидов</t>
        </is>
      </c>
      <c r="C10" s="14" t="inlineStr">
        <is>
          <t>Проверка риска R-7: в общем пуле два оператора не должны начать звонить одному человеку. Проверку выполняют одновременно в двух окнах.</t>
        </is>
      </c>
      <c r="D10" s="14" t="inlineStr">
        <is>
          <t>Два активных оператора одного РОП назначены на одну воронку. В ней ровно два доступных лида. Открой два разных браузера или обычное и приватное окно.</t>
        </is>
      </c>
      <c r="E10" s="14" t="inlineStr">
        <is>
          <t>1. В первом окне войди под оператором A, во втором — под оператором B.
2. В обоих окнах открой «Обзвон».
3. Попроси двух людей одновременно нажать «Начать обзвон»; если ты один, нажми кнопки быстро по очереди.
4. В обоих окнах сразу нажми «Пауза».
5. Сравни имена и телефоны выданных лидов.</t>
        </is>
      </c>
      <c r="F10" s="16" t="inlineStr">
        <is>
          <t>Critical</t>
        </is>
      </c>
      <c r="G10" s="16" t="inlineStr">
        <is>
          <t>Граничный</t>
        </is>
      </c>
      <c r="H10" s="16" t="inlineStr">
        <is>
          <t>UI</t>
        </is>
      </c>
      <c r="I10" s="14" t="inlineStr">
        <is>
          <t>Операторы получают двух разных лидов. Один и тот же телефон не показан одновременно в обоих окнах.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96.39999999999999" customHeight="1">
      <c r="A11" s="16" t="inlineStr">
        <is>
          <t>TC-101</t>
        </is>
      </c>
      <c r="B11" s="14" t="inlineStr">
        <is>
          <t>Захваченный лид недоступен другому оператору пять минут</t>
        </is>
      </c>
      <c r="C11" s="14" t="inlineStr">
        <is>
          <t>После выдачи лид временно блокируется. Проверяем обычный срок блокировки до пяти минут, пока первый оператор готовится к звонку.</t>
        </is>
      </c>
      <c r="D11" s="14" t="inlineStr">
        <is>
          <t>Два оператора назначены на одну воронку. В очереди ровно один лид.</t>
        </is>
      </c>
      <c r="E11" s="14" t="inlineStr">
        <is>
          <t>1. Под оператором A нажми «Начать обзвон» и сразу «Пауза». Не закрывай окно.
2. В течение следующих 4 минут под оператором B открой «Обзвон».
3. Посмотри счётчик и нажми «Начать обзвон».
4. Убедись, что оператор B не видит данные лида оператора A.</t>
        </is>
      </c>
      <c r="F11" s="16" t="inlineStr">
        <is>
          <t>Critical</t>
        </is>
      </c>
      <c r="G11" s="16" t="inlineStr">
        <is>
          <t>Негативный</t>
        </is>
      </c>
      <c r="H11" s="16" t="inlineStr">
        <is>
          <t>UI</t>
        </is>
      </c>
      <c r="I11" s="14" t="inlineStr">
        <is>
          <t>У оператора B счётчик не включает захваченный лид, и этот лид ему не выдаётся.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96.39999999999999" customHeight="1">
      <c r="A12" s="16" t="inlineStr">
        <is>
          <t>TC-102</t>
        </is>
      </c>
      <c r="B12" s="14" t="inlineStr">
        <is>
          <t>Долгий звонок не допускает двойного обзвона после пяти минут</t>
        </is>
      </c>
      <c r="C12" s="14" t="inlineStr">
        <is>
          <t>Критическая проверка R-7. Блокировка в коде выдаётся на 5 минут. Если разговор длится дольше, второй оператор всё равно не должен получить этого же лида. Текущая реализация особенно рискованна для браузерного звонка.</t>
        </is>
      </c>
      <c r="D12" s="14" t="inlineStr">
        <is>
          <t>Два оператора назначены на одну воронку, где доступен только один лид. Клиентский тестовый номер может держать разговор дольше 6 минут.</t>
        </is>
      </c>
      <c r="E12" s="14" t="inlineStr">
        <is>
          <t>1. Под оператором A начни звонок этому лиду и ответь на тестовом телефоне.
2. Не завершай разговор 6 минут.
3. После пятой минуты под оператором B открой «Обзвон» и нажми «Начать обзвон».
4. Сравни имя и телефон в окне B с лидом, которому уже звонит оператор A.</t>
        </is>
      </c>
      <c r="F12" s="16" t="inlineStr">
        <is>
          <t>Critical</t>
        </is>
      </c>
      <c r="G12" s="16" t="inlineStr">
        <is>
          <t>Граничный</t>
        </is>
      </c>
      <c r="H12" s="16" t="inlineStr">
        <is>
          <t>UI</t>
        </is>
      </c>
      <c r="I12" s="14" t="inlineStr">
        <is>
          <t>Оператор B НЕ получает занятого лида. Если тот же лид появился во втором окне, это критический дефект двойного обзвона R-7.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70" customHeight="1">
      <c r="A13" s="16" t="inlineStr">
        <is>
          <t>TC-103</t>
        </is>
      </c>
      <c r="B13" s="14" t="inlineStr">
        <is>
          <t>Перезагрузка возвращает того же активного лида</t>
        </is>
      </c>
      <c r="C13" s="14" t="inlineStr">
        <is>
          <t>У одного оператора может быть только одна незавершённая сессия. Обновление страницы не должно брать новый лид или увеличивать число попыток.</t>
        </is>
      </c>
      <c r="D13" s="14" t="inlineStr">
        <is>
          <t>В очереди оператора минимум два лида. У первого лида известен текущий номер попытки.</t>
        </is>
      </c>
      <c r="E13" s="14" t="inlineStr">
        <is>
          <t>1. Нажми «Начать обзвон» и сразу «Пауза».
2. Запиши имя лида и строку «Попытка», если она есть.
3. Обнови страницу браузера клавишей F5.
4. Снова открой «Обзвон» и нажми «Начать обзвон».
5. Сравни имя лида и номер попытки с записанными.</t>
        </is>
      </c>
      <c r="F13" s="16" t="inlineStr">
        <is>
          <t>Critical</t>
        </is>
      </c>
      <c r="G13" s="16" t="inlineStr">
        <is>
          <t>Негативный</t>
        </is>
      </c>
      <c r="H13" s="16" t="inlineStr">
        <is>
          <t>UI</t>
        </is>
      </c>
      <c r="I13" s="14" t="inlineStr">
        <is>
          <t>Возвращается тот же лид. Новый лид не захвачен, номер попытки не изменился.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70" customHeight="1">
      <c r="A14" s="16" t="inlineStr">
        <is>
          <t>TC-104</t>
        </is>
      </c>
      <c r="B14" s="14" t="inlineStr">
        <is>
          <t>Двойное нажатие «Начать обзвон» создаёт одну сессию</t>
        </is>
      </c>
      <c r="C14" s="14" t="inlineStr">
        <is>
          <t>Быстрое повторное нажатие не должно захватить два лида. Это проверка защиты от случайного двойного клика.</t>
        </is>
      </c>
      <c r="D14" s="14" t="inlineStr">
        <is>
          <t>В очереди оператора минимум три доступных лида. Активной сессии нет.</t>
        </is>
      </c>
      <c r="E14" s="14" t="inlineStr">
        <is>
          <t>1. Открой «Обзвон».
2. Очень быстро дважды нажми «Начать обзвон».
3. Когда появится инструкция, нажми «Пауза».
4. Запиши имя лида.
5. Обнови страницу и снова открой обзвон.</t>
        </is>
      </c>
      <c r="F14" s="16" t="inlineStr">
        <is>
          <t>High</t>
        </is>
      </c>
      <c r="G14" s="16" t="inlineStr">
        <is>
          <t>Негативный</t>
        </is>
      </c>
      <c r="H14" s="16" t="inlineStr">
        <is>
          <t>UI</t>
        </is>
      </c>
      <c r="I14" s="14" t="inlineStr">
        <is>
          <t>Открыто одно окно с одним лидом. После перезагрузки возвращается он же; второй лид не оказался скрыто захвачен.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96.39999999999999" customHeight="1">
      <c r="A15" s="16" t="inlineStr">
        <is>
          <t>TC-105</t>
        </is>
      </c>
      <c r="B15" s="14" t="inlineStr">
        <is>
          <t>После обработки автоматически загружается следующий лид</t>
        </is>
      </c>
      <c r="C15" s="14" t="inlineStr">
        <is>
          <t>Обзвон — непрерывный цикл. После успешного подтверждения система должна сама взять следующий доступный лид и уменьшить остаток очереди.</t>
        </is>
      </c>
      <c r="D15" s="14" t="inlineStr">
        <is>
          <t>В очереди ровно два тестовых лида. Телефония готова; для первого звонка можно выполнить ручное подтверждение.</t>
        </is>
      </c>
      <c r="E15" s="14" t="inlineStr">
        <is>
          <t>1. Начни обзвон и запиши имя первого лида и число в строке «В очереди ещё … лидов».
2. Выполни звонок и на экране итога нажми «Подтвердить».
3. Не закрывай окно обзвона.
4. Дождись следующей инструкции и запиши имя лида и остаток очереди.</t>
        </is>
      </c>
      <c r="F15" s="16" t="inlineStr">
        <is>
          <t>High</t>
        </is>
      </c>
      <c r="G15" s="16" t="inlineStr">
        <is>
          <t>Позитивный</t>
        </is>
      </c>
      <c r="H15" s="16" t="inlineStr">
        <is>
          <t>UI</t>
        </is>
      </c>
      <c r="I15" s="14" t="inlineStr">
        <is>
          <t>Без возврата на главный экран открывается другой, второй лид. Остаток очереди уменьшается; уже обработанный лид повторно не выдаётся немедленно.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96.39999999999999" customHeight="1">
      <c r="A16" s="16" t="inlineStr">
        <is>
          <t>TC-106</t>
        </is>
      </c>
      <c r="B16" s="14" t="inlineStr">
        <is>
          <t>«Пропустить» откладывает лид на 30 минут без попытки</t>
        </is>
      </c>
      <c r="C16" s="14" t="inlineStr">
        <is>
          <t>Кнопка «Пропустить» не означает совершённый звонок: она переносит лид примерно на 30 минут и освобождает его, не увеличивая счётчик попыток.</t>
        </is>
      </c>
      <c r="D16" s="14" t="inlineStr">
        <is>
          <t>В очереди есть тестовый лид с известным номером попытки. Других доступных лидов нет.</t>
        </is>
      </c>
      <c r="E16" s="14" t="inlineStr">
        <is>
          <t>1. Нажми «Начать обзвон» и сразу «Пауза».
2. Запиши строку «Попытка» или факт «первое обращение».
3. Нажми «Пропустить».
4. Закрой окно обзвона и проверь счётчик.
5. Через карточку лида или тестовый API проверь время следующего звонка и число попыток.</t>
        </is>
      </c>
      <c r="F16" s="16" t="inlineStr">
        <is>
          <t>High</t>
        </is>
      </c>
      <c r="G16" s="16" t="inlineStr">
        <is>
          <t>Позитивный</t>
        </is>
      </c>
      <c r="H16" s="16" t="inlineStr">
        <is>
          <t>UI+API</t>
        </is>
      </c>
      <c r="I16" s="14" t="inlineStr">
        <is>
          <t>Лид исчезает из текущей очереди, следующее время — примерно через 30 минут (допуск 1 минута). Число попыток не изменилось.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83.19999999999999" customHeight="1">
      <c r="A17" s="16" t="inlineStr">
        <is>
          <t>TC-107</t>
        </is>
      </c>
      <c r="B17" s="14" t="inlineStr">
        <is>
          <t>Пропущенный лид возвращается на границе 30 минут</t>
        </is>
      </c>
      <c r="C17" s="14" t="inlineStr">
        <is>
          <t>Проверяем точную границу переноса: до назначенного времени лид недоступен, после наступления времени снова участвует в очереди.</t>
        </is>
      </c>
      <c r="D17" s="14" t="inlineStr">
        <is>
          <t>Есть один только что пропущенный тестовый лид. Известно записанное системой время следующего звонка. Других лидов у оператора нет.</t>
        </is>
      </c>
      <c r="E17" s="14" t="inlineStr">
        <is>
          <t>1. За минуту до записанного времени открой «Обзвон» и проверь счётчик.
2. Не обновляй страницу и дождись назначенного времени.
3. Подожди не более 35 секунд для обновления счётчика.
4. Нажми «Начать обзвон».</t>
        </is>
      </c>
      <c r="F17" s="16" t="inlineStr">
        <is>
          <t>High</t>
        </is>
      </c>
      <c r="G17" s="16" t="inlineStr">
        <is>
          <t>Граничный</t>
        </is>
      </c>
      <c r="H17" s="16" t="inlineStr">
        <is>
          <t>UI</t>
        </is>
      </c>
      <c r="I17" s="14" t="inlineStr">
        <is>
          <t>До назначенного времени счётчик равен 0. После наступления времени лид возвращается в счётчик и снова выдаётся.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70" customHeight="1">
      <c r="A18" s="16" t="inlineStr">
        <is>
          <t>TC-108</t>
        </is>
      </c>
      <c r="B18" s="14" t="inlineStr">
        <is>
          <t>Очередь восстанавливается после временной потери сети</t>
        </is>
      </c>
      <c r="C18" s="14" t="inlineStr">
        <is>
          <t>Если список очереди не загрузился из-за интернета, оператор должен увидеть ошибку и иметь возможность повторить попытку без перезагрузки всего кабинета.</t>
        </is>
      </c>
      <c r="D18" s="14" t="inlineStr">
        <is>
          <t>Оператор вошёл в систему. В инструментах браузера можно включить режим Offline.</t>
        </is>
      </c>
      <c r="E18" s="14" t="inlineStr">
        <is>
          <t>1. Включи Offline до открытия режима обзвона.
2. Открой «Обзвон» и нажми «Начать обзвон».
3. Проверь экран ошибки.
4. Верни сеть в режим Online.
5. Нажми кнопку «Повторить».</t>
        </is>
      </c>
      <c r="F18" s="16" t="inlineStr">
        <is>
          <t>High</t>
        </is>
      </c>
      <c r="G18" s="16" t="inlineStr">
        <is>
          <t>Негативный</t>
        </is>
      </c>
      <c r="H18" s="16" t="inlineStr">
        <is>
          <t>UI</t>
        </is>
      </c>
      <c r="I18" s="14" t="inlineStr">
        <is>
          <t>Без сети показана понятная ошибка и кнопка «Повторить», чужие или старые данные лида не отображаются. После восстановления сети загружается один актуальный лид.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70" customHeight="1">
      <c r="A19" s="16" t="inlineStr">
        <is>
          <t>TC-109</t>
        </is>
      </c>
      <c r="B19" s="14" t="inlineStr">
        <is>
          <t>Пустые «Критерии» используют значения по умолчанию</t>
        </is>
      </c>
      <c r="C19" s="14" t="inlineStr">
        <is>
          <t>На экране «Критерии» пустое поле означает встроенное значение. Проверяем все восемь подсказок и восстановление настроек по умолчанию.</t>
        </is>
      </c>
      <c r="D19" s="14" t="inlineStr">
        <is>
          <t>Выполнен вход под РОП. Текущие значения настроек записаны, чтобы вернуть их после теста.</t>
        </is>
      </c>
      <c r="E19" s="14" t="inlineStr">
        <is>
          <t>1. Открой «Критерии».
2. Очисти все восемь полей и нажми «Сохранить».
3. Дождись сообщения «Критерии сохранены».
4. Обнови страницу.
5. Сверь серые значения после слов «По умолчанию».</t>
        </is>
      </c>
      <c r="F19" s="16" t="inlineStr">
        <is>
          <t>Medium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Поля остаются пустыми, а подсказки показывают: 08:00, 20:00, 180 минут, 4 раза, 60 минут, 60 минут, 09:00 и 00:00. Ошибки загрузки нет.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109.6" customHeight="1">
      <c r="A20" s="16" t="inlineStr">
        <is>
          <t>TC-110</t>
        </is>
      </c>
      <c r="B20" s="14" t="inlineStr">
        <is>
          <t>РОП сохраняет все восемь критериев очереди</t>
        </is>
      </c>
      <c r="C20" s="14" t="inlineStr">
        <is>
          <t>Проверяем сохранение пользовательских значений: рабочий день, интервалы, лимит попыток, время до прихода, задержку незавершённого разговора и два времени перехода.</t>
        </is>
      </c>
      <c r="D20" s="14" t="inlineStr">
        <is>
          <t>Выполнен вход под РОП. Записаны исходные настройки для восстановления после теста.</t>
        </is>
      </c>
      <c r="E20" s="14" t="inlineStr">
        <is>
          <t>1. Открой «Критерии».
2. Введи: начало 08:30, окончание 19:30, повтор 15, попыток 3, до прихода 20, незавершённый разговор 25, звонок без часа 10:15, переход в «Придёт сегодня» 00:30.
3. Нажми «Сохранить».
4. Дождись сообщения «Критерии сохранены» и обнови страницу.
5. Сверь каждое поле с введённым значением.</t>
        </is>
      </c>
      <c r="F20" s="16" t="inlineStr">
        <is>
          <t>High</t>
        </is>
      </c>
      <c r="G20" s="16" t="inlineStr">
        <is>
          <t>Позитивный</t>
        </is>
      </c>
      <c r="H20" s="16" t="inlineStr">
        <is>
          <t>UI</t>
        </is>
      </c>
      <c r="I20" s="14" t="inlineStr">
        <is>
          <t>После перезагрузки все восемь значений сохранены без округления и перестановки. Настройки другого РОП не изменились.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96.39999999999999" customHeight="1">
      <c r="A21" s="16" t="inlineStr">
        <is>
          <t>TC-111</t>
        </is>
      </c>
      <c r="B21" s="14" t="inlineStr">
        <is>
          <t>Неверные значения критериев не сохраняются</t>
        </is>
      </c>
      <c r="C21" s="14" t="inlineStr">
        <is>
          <t>Поля времени принимают только настоящее время, числовые поля — только целые положительные числа, а начало дня должно быть раньше окончания.</t>
        </is>
      </c>
      <c r="D21" s="14" t="inlineStr">
        <is>
          <t>Выполнен вход под РОП. Открыт экран «Критерии». Исходные значения записаны.</t>
        </is>
      </c>
      <c r="E21" s="14" t="inlineStr">
        <is>
          <t>1. В поле минут по очереди попробуй 0, затем -1, затем 1.5; каждый раз нажимай «Сохранить».
2. В поле времени попробуй ввести 25:99 и нажми «Сохранить».
3. Установи начало дня 20:00, окончание 08:00 и нажми «Сохранить».
4. Обнови страницу и сравни значения с исходными.</t>
        </is>
      </c>
      <c r="F21" s="16" t="inlineStr">
        <is>
          <t>High</t>
        </is>
      </c>
      <c r="G21" s="16" t="inlineStr">
        <is>
          <t>Негативный</t>
        </is>
      </c>
      <c r="H21" s="16" t="inlineStr">
        <is>
          <t>UI</t>
        </is>
      </c>
      <c r="I21" s="14" t="inlineStr">
        <is>
          <t>Каждый неверный вариант отклонён с понятной красной подсказкой. Исходные настройки на сервере не изменились.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96.39999999999999" customHeight="1">
      <c r="A22" s="16" t="inlineStr">
        <is>
          <t>TC-112</t>
        </is>
      </c>
      <c r="B22" s="14" t="inlineStr">
        <is>
          <t>Новый критерий действует со следующего расчёта</t>
        </is>
      </c>
      <c r="C22" s="14" t="inlineStr">
        <is>
          <t>Изменение интервала влияет на новые расчёты очереди, но не переписывает уже сохранённое время следующего звонка.</t>
        </is>
      </c>
      <c r="D22" s="14" t="inlineStr">
        <is>
          <t>У РОП интервал «Не поднял» равен 180 минут. Лид A уже получил следующее время через 180 минут. Есть второй лид B для нового звонка.</t>
        </is>
      </c>
      <c r="E22" s="14" t="inlineStr">
        <is>
          <t>1. Под РОП измени интервал «Не поднял» на 15 минут и нажми «Сохранить».
2. Проверь ранее назначенное время лида A.
3. Под оператором выполни недозвон по лиду B и подтверди итог «Ko'tarmadi».
4. Проверь время следующего звонка обоих лидов.
5. Верни исходную настройку.</t>
        </is>
      </c>
      <c r="F22" s="16" t="inlineStr">
        <is>
          <t>High</t>
        </is>
      </c>
      <c r="G22" s="16" t="inlineStr">
        <is>
          <t>Граничный</t>
        </is>
      </c>
      <c r="H22" s="16" t="inlineStr">
        <is>
          <t>UI+API</t>
        </is>
      </c>
      <c r="I22" s="14" t="inlineStr">
        <is>
          <t>У лида A остаётся старое сохранённое время. Для нового расчёта лида B используется интервал 15 минут.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83.19999999999999" customHeight="1">
      <c r="A23" s="16" t="inlineStr">
        <is>
          <t>TC-113</t>
        </is>
      </c>
      <c r="B23" s="14" t="inlineStr">
        <is>
          <t>После конца рабочего дня повтор переносится на завтра</t>
        </is>
      </c>
      <c r="C23" s="14" t="inlineStr">
        <is>
          <t>Подсказка поля «Окончание рабочего дня» обещает перенос повторных попыток на начало следующего дня. Проверяем это правило на границе рабочего времени.</t>
        </is>
      </c>
      <c r="D23" s="14" t="inlineStr">
        <is>
          <t>На тестовом РОП начало дня 08:00, конец установлен на 5 минут позже текущего времени, интервал повтора — 15 минут. Есть тестовый лид «Ko'tarmadi».</t>
        </is>
      </c>
      <c r="E23" s="14" t="inlineStr">
        <is>
          <t>1. Дождись момента за 1–2 минуты до конца рабочего дня.
2. Выполни недозвон и подтверди итог «Ko'tarmadi».
3. Проверь назначенное время следующего звонка.
4. После конца рабочего дня обнови «Обзвон».
5. Верни исходные критерии.</t>
        </is>
      </c>
      <c r="F23" s="16" t="inlineStr">
        <is>
          <t>High</t>
        </is>
      </c>
      <c r="G23" s="16" t="inlineStr">
        <is>
          <t>Граничный</t>
        </is>
      </c>
      <c r="H23" s="16" t="inlineStr">
        <is>
          <t>UI</t>
        </is>
      </c>
      <c r="I23" s="14" t="inlineStr">
        <is>
          <t>Повтор назначен на начало следующего рабочего дня, а не через 15 минут ночью. После конца дня лид не выдаётся. Если выдаётся, поле «Окончание рабочего дня» не подключено к очереди.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96.39999999999999" customHeight="1">
      <c r="A24" s="16" t="inlineStr">
        <is>
          <t>TC-114</t>
        </is>
      </c>
      <c r="B24" s="14" t="inlineStr">
        <is>
          <t>Договорённость без часа использует заданное время</t>
        </is>
      </c>
      <c r="C24" s="14" t="inlineStr">
        <is>
          <t>Поле «Время звонка для договорённости без часа» должно дополнять фразу клиента вроде «позвоните в понедельник», когда конкретный час не назван.</t>
        </is>
      </c>
      <c r="D24" s="14" t="inlineStr">
        <is>
          <t>У РОП значение поля равно 10:15. Есть тестовая запись разговора, где клиент называет будущий день, но не называет час. Gemini на стенде доступен.</t>
        </is>
      </c>
      <c r="E24" s="14" t="inlineStr">
        <is>
          <t>1. Проведи тестовый звонок и произнеси: «Позвоните мне в следующий понедельник».
2. Дождись экрана «Рекомендация ИИ — подтвердите».
3. Проверь поле «Время следующего звонка (для очереди)».
4. Подтверди результат.
5. Проверь сохранённое время следующего звонка.</t>
        </is>
      </c>
      <c r="F24" s="16" t="inlineStr">
        <is>
          <t>High</t>
        </is>
      </c>
      <c r="G24" s="16" t="inlineStr">
        <is>
          <t>Позитивный</t>
        </is>
      </c>
      <c r="H24" s="16" t="inlineStr">
        <is>
          <t>UI</t>
        </is>
      </c>
      <c r="I24" s="14" t="inlineStr">
        <is>
          <t>Дата соответствует следующему понедельнику по времени Ташкента, время — 10:15. Если поле пустое или указан другой час, настройка не подключена к расчёту.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</sheetData>
  <autoFilter ref="A1:L24"/>
  <conditionalFormatting sqref="K2:K5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4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4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4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122.8" customHeight="1">
      <c r="A2" s="16" t="inlineStr">
        <is>
          <t>TC-115</t>
        </is>
      </c>
      <c r="B2" s="14" t="inlineStr">
        <is>
          <t>Перед звонком показана понятная инструкция по лиду</t>
        </is>
      </c>
      <c r="C2" s="14" t="inlineStr">
        <is>
          <t>Проверяем первый экран цикла: оператор должен понять, кому и зачем звонит, какие статусы доступны и какие поля нужно узнать у клиента.</t>
        </is>
      </c>
      <c r="D2" s="14" t="inlineStr">
        <is>
          <t>У РОП настроены текст совета, форма с обязательным и необязательным полями и статусы. В очереди оператора есть тестовый лид с именем, телефоном, суммой и статусом.</t>
        </is>
      </c>
      <c r="E2" s="14" t="inlineStr">
        <is>
          <t>1. Войди под оператором, открой «Обзвон» и нажми «Начать обзвон».
2. Сразу нажми «Пауза».
3. Сверь имя, телефон, текущий статус и сумму с тестовым лидом.
4. Прочитай блоки «Причина звонка», «Совет ИИ», «Целевые статусы» и «Поля, заполняемые ИИ».
5. Проверь, что обязательные поля отмечены маленькой цветной точкой.</t>
        </is>
      </c>
      <c r="F2" s="16" t="inlineStr">
        <is>
          <t>High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Данные относятся к выданному лиду. Совет совпадает с настройкой РОП. Показаны реальные статусы воронки и реальные поля формы; обязательные поля отмечены.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56.8" customHeight="1">
      <c r="A3" s="16" t="inlineStr">
        <is>
          <t>TC-116</t>
        </is>
      </c>
      <c r="B3" s="14" t="inlineStr">
        <is>
          <t>Первый контакт не показывает попытку 0/4</t>
        </is>
      </c>
      <c r="C3" s="14" t="inlineStr">
        <is>
          <t>Для лида, которому ещё не звонили, блок «Причина звонка» должен говорить о первом обращении, а не показывать непонятный нулевой счётчик.</t>
        </is>
      </c>
      <c r="D3" s="14" t="inlineStr">
        <is>
          <t>В очереди есть новый лид без прошлых звонков, времени последней попытки и предыдущего статуса.</t>
        </is>
      </c>
      <c r="E3" s="14" t="inlineStr">
        <is>
          <t>1. Открой инструкцию этого лида и нажми «Пауза».
2. Найди блок «Причина звонка».
3. Прочитай главный текст и строки под ним.</t>
        </is>
      </c>
      <c r="F3" s="16" t="inlineStr">
        <is>
          <t>Medium</t>
        </is>
      </c>
      <c r="G3" s="16" t="inlineStr">
        <is>
          <t>Граничный</t>
        </is>
      </c>
      <c r="H3" s="16" t="inlineStr">
        <is>
          <t>UI</t>
        </is>
      </c>
      <c r="I3" s="14" t="inlineStr">
        <is>
          <t>Показан текст «Новый лид — вы связываетесь впервые…». Нет строк «Попытка 0/4», «Прошлый этап» с пустым значением или неверного времени.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96.39999999999999" customHeight="1">
      <c r="A4" s="16" t="inlineStr">
        <is>
          <t>TC-117</t>
        </is>
      </c>
      <c r="B4" s="14" t="inlineStr">
        <is>
          <t>Повторный звонок показывает номер попытки и прошлый этап</t>
        </is>
      </c>
      <c r="C4" s="14" t="inlineStr">
        <is>
          <t>Оператору нужен контекст повторного обращения. Проверяем номер попытки, предыдущий этап, последнее время звонка и время встречи или прихода.</t>
        </is>
      </c>
      <c r="D4" s="14" t="inlineStr">
        <is>
          <t>Есть лид «Ko'tarmadi» с двумя завершёнными попытками из четырёх, известным предыдущим статусом и заполненным временем встречи либо прихода.</t>
        </is>
      </c>
      <c r="E4" s="14" t="inlineStr">
        <is>
          <t>1. Открой инструкцию этого лида и нажми «Пауза».
2. В блоке «Причина звонка» найди строки «Попытка», «Прошлый этап» и «Последняя попытка».
3. Если подготовлено время встречи/прихода, найди соответствующую строку.
4. Сверь каждое значение с карточкой и историей тестового лида.</t>
        </is>
      </c>
      <c r="F4" s="16" t="inlineStr">
        <is>
          <t>High</t>
        </is>
      </c>
      <c r="G4" s="16" t="inlineStr">
        <is>
          <t>Позитивный</t>
        </is>
      </c>
      <c r="H4" s="16" t="inlineStr">
        <is>
          <t>UI</t>
        </is>
      </c>
      <c r="I4" s="14" t="inlineStr">
        <is>
          <t>Показано «Попытка 2/4», правильный прошлый этап и правильные дата/время. Значения не перепутаны между лидами.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56.8" customHeight="1">
      <c r="A5" s="16" t="inlineStr">
        <is>
          <t>TC-118</t>
        </is>
      </c>
      <c r="B5" s="14" t="inlineStr">
        <is>
          <t>Последняя попытка выделена как важная</t>
        </is>
      </c>
      <c r="C5" s="14" t="inlineStr">
        <is>
          <t>Перед последним разрешённым недозвоном блок причины окрашивается в янтарный цвет, чтобы предупредить оператора о возможном переводе в «Sifatsiz».</t>
        </is>
      </c>
      <c r="D5" s="14" t="inlineStr">
        <is>
          <t>Максимум попыток равен 4. Есть лид «Ko'tarmadi» с тремя уже записанными попытками.</t>
        </is>
      </c>
      <c r="E5" s="14" t="inlineStr">
        <is>
          <t>1. Открой инструкцию этого лида и нажми «Пауза».
2. Проверь строку «Попытка».
3. Сравни цвет левой полосы и заголовка блока «Причина звонка» с обычным повторным лидом.</t>
        </is>
      </c>
      <c r="F5" s="16" t="inlineStr">
        <is>
          <t>Medium</t>
        </is>
      </c>
      <c r="G5" s="16" t="inlineStr">
        <is>
          <t>Граничный</t>
        </is>
      </c>
      <c r="H5" s="16" t="inlineStr">
        <is>
          <t>UI</t>
        </is>
      </c>
      <c r="I5" s="14" t="inlineStr">
        <is>
          <t>Показано «Попытка 3/4», а блок выделен янтарным цветом. Инструкция и кнопки остаются читаемыми.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70" customHeight="1">
      <c r="A6" s="16" t="inlineStr">
        <is>
          <t>TC-119</t>
        </is>
      </c>
      <c r="B6" s="14" t="inlineStr">
        <is>
          <t>Неполные данные причины не ломают инструкцию</t>
        </is>
      </c>
      <c r="C6" s="14" t="inlineStr">
        <is>
          <t>Блок причины собирается из доступных данных. Если прошлый статус или время встречи отсутствует, экран должен просто скрыть пустые строки.</t>
        </is>
      </c>
      <c r="D6" s="14" t="inlineStr">
        <is>
          <t>Есть доступный лид без предыдущего статуса, времени встречи, времени прихода и истории попыток. Имя или сумма также могут быть пустыми.</t>
        </is>
      </c>
      <c r="E6" s="14" t="inlineStr">
        <is>
          <t>1. Открой инструкцию этого лида и нажми «Пауза».
2. Просмотри блок «Причина звонка» и верхнюю строку окна.
3. Нажми «Продолжить», затем снова «Пауза».</t>
        </is>
      </c>
      <c r="F6" s="16" t="inlineStr">
        <is>
          <t>High</t>
        </is>
      </c>
      <c r="G6" s="16" t="inlineStr">
        <is>
          <t>Негативный</t>
        </is>
      </c>
      <c r="H6" s="16" t="inlineStr">
        <is>
          <t>UI</t>
        </is>
      </c>
      <c r="I6" s="14" t="inlineStr">
        <is>
          <t>Окно открывается без белого экрана и технической ошибки. Пустые строки не показываются; для пустого имени используется «Лид без имени». Таймер и кнопки работают.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96.39999999999999" customHeight="1">
      <c r="A7" s="16" t="inlineStr">
        <is>
          <t>TC-120</t>
        </is>
      </c>
      <c r="B7" s="14" t="inlineStr">
        <is>
          <t>В итогах доступны только статусы воронки лида</t>
        </is>
      </c>
      <c r="C7" s="14" t="inlineStr">
        <is>
          <t>Статус результата нельзя взять из чужой воронки или из системных этапов. Если РОП не настроил список формы, система должна подставить живые статусы AmoCRM этой воронки.</t>
        </is>
      </c>
      <c r="D7" s="14" t="inlineStr">
        <is>
          <t>У РОП две воронки с разными статусами. Для теста поочерёдно подготовлены два состояния: форма со статусами и форма без них. Есть лид в воронке A.</t>
        </is>
      </c>
      <c r="E7" s="14" t="inlineStr">
        <is>
          <t>1. Проведи тестовый звонок до экрана «Итог разговора — подтвердите».
2. Раскрой поле «Статус» и запиши варианты.
3. Проверь, что нет статусов воронки B, «Неразобранное», системных 142/143, «Yangi» и «Sifatsiz».
4. Повтори проверку после удаления настроенных статусов формы у РОП.</t>
        </is>
      </c>
      <c r="F7" s="16" t="inlineStr">
        <is>
          <t>Critical</t>
        </is>
      </c>
      <c r="G7" s="16" t="inlineStr">
        <is>
          <t>Негативный</t>
        </is>
      </c>
      <c r="H7" s="16" t="inlineStr">
        <is>
          <t>UI</t>
        </is>
      </c>
      <c r="I7" s="14" t="inlineStr">
        <is>
          <t>В обоих состояниях список не пуст и содержит только допустимые живые статусы воронки A. Чужие и системные этапы выбрать нельзя.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56.8" customHeight="1">
      <c r="A8" s="16" t="inlineStr">
        <is>
          <t>TC-121</t>
        </is>
      </c>
      <c r="B8" s="14" t="inlineStr">
        <is>
          <t>Через 10 секунд номер набирается автоматически</t>
        </is>
      </c>
      <c r="C8" s="14" t="inlineStr">
        <is>
          <t>После показа инструкции кольцевой таймер идёт от 10 до 0 и сам начинает звонок, если оператор ничего не нажал.</t>
        </is>
      </c>
      <c r="D8" s="14" t="inlineStr">
        <is>
          <t>Телефония тестового оператора готова. Есть доступный лид с тестовым номером.</t>
        </is>
      </c>
      <c r="E8" s="14" t="inlineStr">
        <is>
          <t>1. Нажми «Начать обзвон».
2. Не нажимай кнопки и наблюдай число в кольце.
3. Засеки время от появления 10 до начала набора.
4. Проверь состояние в верхней строке окна.</t>
        </is>
      </c>
      <c r="F8" s="16" t="inlineStr">
        <is>
          <t>High</t>
        </is>
      </c>
      <c r="G8" s="16" t="inlineStr">
        <is>
          <t>Граничный</t>
        </is>
      </c>
      <c r="H8" s="16" t="inlineStr">
        <is>
          <t>UI</t>
        </is>
      </c>
      <c r="I8" s="14" t="inlineStr">
        <is>
          <t>Число уменьшается раз в секунду. Примерно через 10 секунд начинается один звонок, верхняя строка меняется на «В ЭФИРЕ».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56.8" customHeight="1">
      <c r="A9" s="16" t="inlineStr">
        <is>
          <t>TC-122</t>
        </is>
      </c>
      <c r="B9" s="14" t="inlineStr">
        <is>
          <t>«Пауза» останавливает таймер, «Продолжить» возобновляет</t>
        </is>
      </c>
      <c r="C9" s="14" t="inlineStr">
        <is>
          <t>Проверяем, что пауза действительно замораживает отсчёт, а не только меняет надпись.</t>
        </is>
      </c>
      <c r="D9" s="14" t="inlineStr">
        <is>
          <t>Открыта инструкция перед звонком, автоматический набор ещё не начался.</t>
        </is>
      </c>
      <c r="E9" s="14" t="inlineStr">
        <is>
          <t>1. Когда на кольце будет 7 или 8, нажми «Пауза».
2. Запиши число и подожди 5 секунд.
3. Убедись, что кнопка теперь называется «Продолжить».
4. Нажми «Продолжить» и наблюдай таймер.</t>
        </is>
      </c>
      <c r="F9" s="16" t="inlineStr">
        <is>
          <t>High</t>
        </is>
      </c>
      <c r="G9" s="16" t="inlineStr">
        <is>
          <t>Позитивный</t>
        </is>
      </c>
      <c r="H9" s="16" t="inlineStr">
        <is>
          <t>UI</t>
        </is>
      </c>
      <c r="I9" s="14" t="inlineStr">
        <is>
          <t>Во время паузы число не меняется и звонок не начинается. После «Продолжить» отсчёт продолжается с сохранённого числа, а не начинается заново.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56.8" customHeight="1">
      <c r="A10" s="16" t="inlineStr">
        <is>
          <t>TC-123</t>
        </is>
      </c>
      <c r="B10" s="14" t="inlineStr">
        <is>
          <t>«Позвонить сейчас» начинает только один звонок</t>
        </is>
      </c>
      <c r="C10" s="14" t="inlineStr">
        <is>
          <t>Оператор может не ждать таймер. Быстрое повторное нажатие не должно создать два исходящих звонка одному клиенту.</t>
        </is>
      </c>
      <c r="D10" s="14" t="inlineStr">
        <is>
          <t>Открыта инструкция, телефония готова, тестовый телефон находится у тестировщика.</t>
        </is>
      </c>
      <c r="E10" s="14" t="inlineStr">
        <is>
          <t>1. Очень быстро дважды нажми «Позвонить сейчас».
2. Посмотри экран Operator AI и журнал входящих на тестовом телефоне.
3. Ответь на вызов и затем заверши его.</t>
        </is>
      </c>
      <c r="F10" s="16" t="inlineStr">
        <is>
          <t>Critical</t>
        </is>
      </c>
      <c r="G10" s="16" t="inlineStr">
        <is>
          <t>Негативный</t>
        </is>
      </c>
      <c r="H10" s="16" t="inlineStr">
        <is>
          <t>UI</t>
        </is>
      </c>
      <c r="I10" s="14" t="inlineStr">
        <is>
          <t>Начинается ровно один вызов. Открыт один экран разговора; на телефоне нет двух параллельных или последовательных дублей от двойного клика.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96.39999999999999" customHeight="1">
      <c r="A11" s="16" t="inlineStr">
        <is>
          <t>TC-124</t>
        </is>
      </c>
      <c r="B11" s="14" t="inlineStr">
        <is>
          <t>Звонок из браузера проходит полный путь</t>
        </is>
      </c>
      <c r="C11" s="14" t="inlineStr">
        <is>
          <t>При доступном WebRTC браузер работает как телефон. Проверяем соединение, статусы вызова, таймер разговора и ручное завершение.</t>
        </is>
      </c>
      <c r="D11" s="14" t="inlineStr">
        <is>
          <t>Для оператора настроен и зарегистрирован браузерный телефон WebRTC/Verto. Разрешён доступ браузера к микрофону. Тестовый телефон может принять вызов.</t>
        </is>
      </c>
      <c r="E11" s="14" t="inlineStr">
        <is>
          <t>1. Начни звонок и наблюдай подписи «Подключение…» и «Идёт вызов…».
2. Ответь на тестовом телефоне.
3. Убедись, что появилась подпись «Идёт разговор» и таймер 0:01, 0:02…
4. Скажи короткую тестовую фразу в микрофон.
5. Нажми «Завершить звонок».</t>
        </is>
      </c>
      <c r="F11" s="16" t="inlineStr">
        <is>
          <t>Critical</t>
        </is>
      </c>
      <c r="G11" s="16" t="inlineStr">
        <is>
          <t>Позитивный</t>
        </is>
      </c>
      <c r="H11" s="16" t="inlineStr">
        <is>
          <t>UI</t>
        </is>
      </c>
      <c r="I11" s="14" t="inlineStr">
        <is>
          <t>Клиент и оператор слышат друг друга. Таймер начинается только после ответа. После завершения открывается экран итога, окно не зависает в состоянии вызова.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83.19999999999999" customHeight="1">
      <c r="A12" s="16" t="inlineStr">
        <is>
          <t>TC-125</t>
        </is>
      </c>
      <c r="B12" s="14" t="inlineStr">
        <is>
          <t>При недоступном WebRTC используется звонок через сервер</t>
        </is>
      </c>
      <c r="C12" s="14" t="inlineStr">
        <is>
          <t>Система имеет запасной путь click-to-call: когда браузерный телефон отсутствует, сервер просит OnlinePBX соединить оператора с лидом.</t>
        </is>
      </c>
      <c r="D12" s="14" t="inlineStr">
        <is>
          <t>На тестовом РОП WebRTC недоступен (запрос учётных данных возвращает 404/409), но click-to-call OnlinePBX настроен и внутренний номер оператора активен.</t>
        </is>
      </c>
      <c r="E12" s="14" t="inlineStr">
        <is>
          <t>1. Открой инструкцию и дождись, пока исчезнет текст «Браузерный телефон подключается…».
2. Нажми «Позвонить сейчас».
3. Прими сначала вызов на телефоне/софтфоне оператора, затем дождись соединения с тестовым лидом.
4. Заверши разговор и дождись экрана итога.</t>
        </is>
      </c>
      <c r="F12" s="16" t="inlineStr">
        <is>
          <t>High</t>
        </is>
      </c>
      <c r="G12" s="16" t="inlineStr">
        <is>
          <t>Позитивный</t>
        </is>
      </c>
      <c r="H12" s="16" t="inlineStr">
        <is>
          <t>UI</t>
        </is>
      </c>
      <c r="I12" s="14" t="inlineStr">
        <is>
          <t>Вызов проходит через OnlinePBX и относится к правильному лиду. Система не остаётся бесконечно на подготовке WebRTC и после звонка показывает итог.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83.19999999999999" customHeight="1">
      <c r="A13" s="16" t="inlineStr">
        <is>
          <t>TC-126</t>
        </is>
      </c>
      <c r="B13" s="14" t="inlineStr">
        <is>
          <t>Ошибка телефонии не считается состоявшимся звонком</t>
        </is>
      </c>
      <c r="C13" s="14" t="inlineStr">
        <is>
          <t>Если внутренний номер выключен или OnlinePBX недоступен, оператору нужна понятная ошибка. Неудачный запуск не должен увеличить попытку или потерять лида.</t>
        </is>
      </c>
      <c r="D13" s="14" t="inlineStr">
        <is>
          <t>Для тестового оператора временно выключен внутренний номер в тестовом OnlinePBX либо настроен безопасный способ получить отказ. Известен счётчик попыток лида.</t>
        </is>
      </c>
      <c r="E13" s="14" t="inlineStr">
        <is>
          <t>1. Открой инструкцию лида и запиши номер попытки.
2. Нажми «Позвонить сейчас».
3. Прочитай сообщение об ошибке.
4. Верни телефонию в рабочее состояние.
5. Повтори звонок этому же лиду.</t>
        </is>
      </c>
      <c r="F13" s="16" t="inlineStr">
        <is>
          <t>Critical</t>
        </is>
      </c>
      <c r="G13" s="16" t="inlineStr">
        <is>
          <t>Негативный</t>
        </is>
      </c>
      <c r="H13" s="16" t="inlineStr">
        <is>
          <t>UI</t>
        </is>
      </c>
      <c r="I13" s="14" t="inlineStr">
        <is>
          <t>Показана понятная ошибка начала звонка, а не белый экран. Лид остаётся доступен этому оператору, попытка не увеличилась. После восстановления звонок можно повторить.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83.19999999999999" customHeight="1">
      <c r="A14" s="16" t="inlineStr">
        <is>
          <t>TC-127</t>
        </is>
      </c>
      <c r="B14" s="14" t="inlineStr">
        <is>
          <t>Недозвон открывает ручной итог со статусом Ko'tarmadi</t>
        </is>
      </c>
      <c r="C14" s="14" t="inlineStr">
        <is>
          <t>Неотвеченный звонок не имеет записи разговора и анализа ИИ. Система должна перейти к ручному итогу и заранее выбрать статус «Ko'tarmadi», если он есть в воронке.</t>
        </is>
      </c>
      <c r="D14" s="14" t="inlineStr">
        <is>
          <t>В воронке есть допустимый статус «Ko'tarmadi». Тестовый телефон не будет отвечать. В контакте используется один собственный номер лида.</t>
        </is>
      </c>
      <c r="E14" s="14" t="inlineStr">
        <is>
          <t>1. Начни звонок и не отвечай на тестовом телефоне.
2. Дождись окончания вызова.
3. Проверь заголовок экрана итога и выбранное значение поля «Статус».
4. Не нажимай «Подтвердить», пока не проверишь остальные поля.</t>
        </is>
      </c>
      <c r="F14" s="16" t="inlineStr">
        <is>
          <t>Critical</t>
        </is>
      </c>
      <c r="G14" s="16" t="inlineStr">
        <is>
          <t>Негативный</t>
        </is>
      </c>
      <c r="H14" s="16" t="inlineStr">
        <is>
          <t>UI</t>
        </is>
      </c>
      <c r="I14" s="14" t="inlineStr">
        <is>
          <t>Открывается «Итог разговора — подтвердите», а не рекомендация ИИ. В поле «Статус» выбран «Ko'tarmadi». Нет выдуманной расшифровки или итогового текста.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70" customHeight="1">
      <c r="A15" s="16" t="inlineStr">
        <is>
          <t>TC-128</t>
        </is>
      </c>
      <c r="B15" s="14" t="inlineStr">
        <is>
          <t>Введённое во время разговора переносится в итог</t>
        </is>
      </c>
      <c r="C15" s="14" t="inlineStr">
        <is>
          <t>Оператор может заполнять форму прямо во время звонка. После завершения введённое не должно исчезнуть.</t>
        </is>
      </c>
      <c r="D15" s="14" t="inlineStr">
        <is>
          <t>В форме РОП есть текстовое поле и поле даты. Браузерный звонок доступен.</t>
        </is>
      </c>
      <c r="E15" s="14" t="inlineStr">
        <is>
          <t>1. Начни звонок и ответь на тестовом телефоне.
2. В блоке «Заполнение во время разговора (необязательно)» введи заметный тестовый текст и дату.
3. Нажми «Завершить звонок».
4. На экране итога найди те же поля.</t>
        </is>
      </c>
      <c r="F15" s="16" t="inlineStr">
        <is>
          <t>High</t>
        </is>
      </c>
      <c r="G15" s="16" t="inlineStr">
        <is>
          <t>Позитивный</t>
        </is>
      </c>
      <c r="H15" s="16" t="inlineStr">
        <is>
          <t>UI</t>
        </is>
      </c>
      <c r="I15" s="14" t="inlineStr">
        <is>
          <t>Оба введённых значения полностью перенесены на экран итога. Они не очищены и не заменены пустыми значениями.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96.39999999999999" customHeight="1">
      <c r="A16" s="16" t="inlineStr">
        <is>
          <t>TC-129</t>
        </is>
      </c>
      <c r="B16" s="14" t="inlineStr">
        <is>
          <t>Результат ИИ заполняет только оставленные оператором поля</t>
        </is>
      </c>
      <c r="C16" s="14" t="inlineStr">
        <is>
          <t>Если анализ пришёл после ручного ввода, данные человека имеют приоритет. ИИ может дополнить только пустые поля и пустой статус.</t>
        </is>
      </c>
      <c r="D16" s="14" t="inlineStr">
        <is>
          <t>Форма содержит минимум два поля. Подготовлен разговор, из которого ИИ извлечёт значения для обоих полей. В одном поле оператор введёт другое значение вручную.</t>
        </is>
      </c>
      <c r="E16" s="14" t="inlineStr">
        <is>
          <t>1. Во время разговора заполни первое поле вручную, второе оставь пустым.
2. Заверши звонок и не подтверждай результат.
3. Дождись заголовка «Рекомендация ИИ — подтвердите» и появления меток «AI».
4. Сравни оба поля с ручным вводом и содержанием разговора.</t>
        </is>
      </c>
      <c r="F16" s="16" t="inlineStr">
        <is>
          <t>Critical</t>
        </is>
      </c>
      <c r="G16" s="16" t="inlineStr">
        <is>
          <t>Граничный</t>
        </is>
      </c>
      <c r="H16" s="16" t="inlineStr">
        <is>
          <t>UI</t>
        </is>
      </c>
      <c r="I16" s="14" t="inlineStr">
        <is>
          <t>Первое поле сохраняет значение оператора. Второе пустое поле заполняется ИИ. Приход результата ИИ не стирает сделанные человеком правки.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96.39999999999999" customHeight="1">
      <c r="A17" s="16" t="inlineStr">
        <is>
          <t>TC-130</t>
        </is>
      </c>
      <c r="B17" s="14" t="inlineStr">
        <is>
          <t>Типы полей формы отображаются правильными элементами</t>
        </is>
      </c>
      <c r="C17" s="14" t="inlineStr">
        <is>
          <t>Дата должна открывать календарь, поле с вариантами — список, длинный текст — многострочное поле. Это снижает риск отправить в AmoCRM неверный формат.</t>
        </is>
      </c>
      <c r="D17" s="14" t="inlineStr">
        <is>
          <t>У РОП настроены поля типов date, date_time, select с вариантами и textarea. Открыт экран итога тестового звонка.</t>
        </is>
      </c>
      <c r="E17" s="14" t="inlineStr">
        <is>
          <t>1. Нажми поле даты и выбери день в календаре.
2. Нажми поле даты и времени и выбери день и час.
3. Раскрой поле с вариантами и выбери один реальный вариант AmoCRM.
4. В многострочное поле введи две строки текста.
5. Нажми «Подтвердить» и проверь значения в карточке того же лида AmoCRM.</t>
        </is>
      </c>
      <c r="F17" s="16" t="inlineStr">
        <is>
          <t>High</t>
        </is>
      </c>
      <c r="G17" s="16" t="inlineStr">
        <is>
          <t>Позитивный</t>
        </is>
      </c>
      <c r="H17" s="16" t="inlineStr">
        <is>
          <t>UI</t>
        </is>
      </c>
      <c r="I17" s="14" t="inlineStr">
        <is>
          <t>Каждое поле использует подходящий элемент. В AmoCRM у исходного лида сохранены та же дата, дата-время, выбранный вариант и обе строки текста.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83.19999999999999" customHeight="1">
      <c r="A18" s="16" t="inlineStr">
        <is>
          <t>TC-131</t>
        </is>
      </c>
      <c r="B18" s="14" t="inlineStr">
        <is>
          <t>Автосинхронизация ждёт завершения анализа ИИ</t>
        </is>
      </c>
      <c r="C18" s="14" t="inlineStr">
        <is>
          <t>Пока запись ещё анализируется, пустой промежуточный результат нельзя отправлять в AmoCRM через 20 секунд.</t>
        </is>
      </c>
      <c r="D18" s="14" t="inlineStr">
        <is>
          <t>Gemini работает, но анализ тестового звонка можно задержать дольше 25 секунд. Есть доступ к истории изменений исходного лида в AmoCRM.</t>
        </is>
      </c>
      <c r="E18" s="14" t="inlineStr">
        <is>
          <t>1. Заверши отвеченный звонок.
2. На экране итога найди текст «ИИ анализирует запись звонка…».
3. Ничего не нажимай 25 секунд.
4. Проверь историю лида в AmoCRM.
5. Дождись результата ИИ и наблюдай начало отсчёта.</t>
        </is>
      </c>
      <c r="F18" s="16" t="inlineStr">
        <is>
          <t>Critical</t>
        </is>
      </c>
      <c r="G18" s="16" t="inlineStr">
        <is>
          <t>Граничный</t>
        </is>
      </c>
      <c r="H18" s="16" t="inlineStr">
        <is>
          <t>UI</t>
        </is>
      </c>
      <c r="I18" s="14" t="inlineStr">
        <is>
          <t>Пока показан анализ, результат не отправляется и отсчёт не идёт. После появления полного результата начинается новый отсчёт с 20 секунд.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83.19999999999999" customHeight="1">
      <c r="A19" s="16" t="inlineStr">
        <is>
          <t>TC-132</t>
        </is>
      </c>
      <c r="B19" s="14" t="inlineStr">
        <is>
          <t>Незаполненное обязательное поле явно отмечено</t>
        </is>
      </c>
      <c r="C19" s="14" t="inlineStr">
        <is>
          <t>Если ИИ не нашёл обязательное значение, оператор должен увидеть, какое именно поле требует ручного заполнения.</t>
        </is>
      </c>
      <c r="D19" s="14" t="inlineStr">
        <is>
          <t>В форме есть обязательное поле. Подготовлен отвеченный звонок, в котором значение этого поля не произносится, а анализ возвращает его как пропущенное.</t>
        </is>
      </c>
      <c r="E19" s="14" t="inlineStr">
        <is>
          <t>1. Дождись результата ИИ на экране подтверждения.
2. Найди обязательное поле.
3. Проверь цвет поля и текст под ним.
4. Заполни поле вручную и проверь, что значение можно исправить до отправки.</t>
        </is>
      </c>
      <c r="F19" s="16" t="inlineStr">
        <is>
          <t>High</t>
        </is>
      </c>
      <c r="G19" s="16" t="inlineStr">
        <is>
          <t>Негативный</t>
        </is>
      </c>
      <c r="H19" s="16" t="inlineStr">
        <is>
          <t>UI</t>
        </is>
      </c>
      <c r="I19" s="14" t="inlineStr">
        <is>
          <t>Поле помечено ошибкой и текстом «Обязательное поле не заполнено». Оператор может ввести значение; форма и остальные данные не блокируются.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70" customHeight="1">
      <c r="A20" s="16" t="inlineStr">
        <is>
          <t>TC-133</t>
        </is>
      </c>
      <c r="B20" s="14" t="inlineStr">
        <is>
          <t>Любая правка возвращает таймер подтверждения на 20 секунд</t>
        </is>
      </c>
      <c r="C20" s="14" t="inlineStr">
        <is>
          <t>Чтобы результат не ушёл во время редактирования, изменение статуса, поля или времени следующего звонка должно заново дать оператору 20 секунд.</t>
        </is>
      </c>
      <c r="D20" s="14" t="inlineStr">
        <is>
          <t>Открыт экран итога, анализ завершён, кольцо отсчитывает время.</t>
        </is>
      </c>
      <c r="E20" s="14" t="inlineStr">
        <is>
          <t>1. Подожди, пока на кольце останется около 10 секунд.
2. Измени значение поля и посмотри на кольцо.
3. Снова дождись 10 секунд и выбери другой статус.
4. Ещё раз дождись 10 секунд и измени «Время следующего звонка (для очереди)».</t>
        </is>
      </c>
      <c r="F20" s="16" t="inlineStr">
        <is>
          <t>High</t>
        </is>
      </c>
      <c r="G20" s="16" t="inlineStr">
        <is>
          <t>Граничный</t>
        </is>
      </c>
      <c r="H20" s="16" t="inlineStr">
        <is>
          <t>UI</t>
        </is>
      </c>
      <c r="I20" s="14" t="inlineStr">
        <is>
          <t>После каждого из трёх изменений таймер возвращается к 20. До истечения нового отсчёта данные в AmoCRM не отправляются.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70" customHeight="1">
      <c r="A21" s="16" t="inlineStr">
        <is>
          <t>TC-134</t>
        </is>
      </c>
      <c r="B21" s="14" t="inlineStr">
        <is>
          <t>Пауза останавливает 20-секундную автосинхронизацию</t>
        </is>
      </c>
      <c r="C21" s="14" t="inlineStr">
        <is>
          <t>Значок паузы рядом с отсчётом даёт оператору неограниченное время проверить итог.</t>
        </is>
      </c>
      <c r="D21" s="14" t="inlineStr">
        <is>
          <t>Открыт экран итога, анализ завершён и идёт отсчёт.</t>
        </is>
      </c>
      <c r="E21" s="14" t="inlineStr">
        <is>
          <t>1. Нажми маленький значок паузы рядом с текстом об автосинхронизации.
2. Запиши число на кольце.
3. Подожди 25 секунд и проверь историю лида в AmoCRM.
4. Нажми значок продолжения и наблюдай отсчёт.</t>
        </is>
      </c>
      <c r="F21" s="16" t="inlineStr">
        <is>
          <t>High</t>
        </is>
      </c>
      <c r="G21" s="16" t="inlineStr">
        <is>
          <t>Позитивный</t>
        </is>
      </c>
      <c r="H21" s="16" t="inlineStr">
        <is>
          <t>UI</t>
        </is>
      </c>
      <c r="I21" s="14" t="inlineStr">
        <is>
          <t>Появляется текст «Авто-синхронизация остановлена», число не меняется, данные не отправляются. После продолжения отсчёт идёт с сохранённого числа.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56.8" customHeight="1">
      <c r="A22" s="16" t="inlineStr">
        <is>
          <t>TC-135</t>
        </is>
      </c>
      <c r="B22" s="14" t="inlineStr">
        <is>
          <t>Через 20 секунд бездействия итог сам уходит в AmoCRM</t>
        </is>
      </c>
      <c r="C22" s="14" t="inlineStr">
        <is>
          <t>Проверяем принятое поведение R-8: если оператор не действует, готовый итог автоматически синхронизируется ровно один раз.</t>
        </is>
      </c>
      <c r="D22" s="14" t="inlineStr">
        <is>
          <t>Открыт полный результат ИИ с допустимым статусом и значениями. История исходного лида AmoCRM открыта в другой вкладке.</t>
        </is>
      </c>
      <c r="E22" s="14" t="inlineStr">
        <is>
          <t>1. Ничего не нажимай на экране итога.
2. Наблюдай кольцо от 20 до 0.
3. После нуля дождись сообщения «Отправлено в AmoCRM».
4. Обнови историю исходного лида в AmoCRM.</t>
        </is>
      </c>
      <c r="F22" s="16" t="inlineStr">
        <is>
          <t>High</t>
        </is>
      </c>
      <c r="G22" s="16" t="inlineStr">
        <is>
          <t>Граничный</t>
        </is>
      </c>
      <c r="H22" s="16" t="inlineStr">
        <is>
          <t>UI</t>
        </is>
      </c>
      <c r="I22" s="14" t="inlineStr">
        <is>
          <t>Примерно через 20 секунд результат отправлен один раз. Изменён исходный лид, появилась одна запись об изменении; новый дубль сделки не создан.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96.39999999999999" customHeight="1">
      <c r="A23" s="16" t="inlineStr">
        <is>
          <t>TC-136</t>
        </is>
      </c>
      <c r="B23" s="14" t="inlineStr">
        <is>
          <t>Ручное подтверждение обновляет исходного лида</t>
        </is>
      </c>
      <c r="C23" s="14" t="inlineStr">
        <is>
          <t>Когда анализа ИИ нет, кнопка «Подтвердить» всё равно должна передать выбранный статус и вручную заполненные поля в ту же сделку AmoCRM.</t>
        </is>
      </c>
      <c r="D23" s="14" t="inlineStr">
        <is>
          <t>Выполнен неотвеченный или браузерный звонок без результата ИИ. Известны ID и число сделок в тестовой воронке до подтверждения.</t>
        </is>
      </c>
      <c r="E23" s="14" t="inlineStr">
        <is>
          <t>1. На экране «Итог разговора — подтвердите» выбери допустимый статус.
2. Заполни два поля заметными тестовыми значениями.
3. Нажми «Подтвердить».
4. Дождись сообщения «Отправлено в AmoCRM».
5. Открой исходную сделку по прежнему ID и обнови список сделок.</t>
        </is>
      </c>
      <c r="F23" s="16" t="inlineStr">
        <is>
          <t>Critical</t>
        </is>
      </c>
      <c r="G23" s="16" t="inlineStr">
        <is>
          <t>Позитивный</t>
        </is>
      </c>
      <c r="H23" s="16" t="inlineStr">
        <is>
          <t>UI</t>
        </is>
      </c>
      <c r="I23" s="14" t="inlineStr">
        <is>
          <t>Статус и оба поля появились в исходной сделке. Её ID не изменился, общее число сделок не выросло — новая сделка не создана.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96.39999999999999" customHeight="1">
      <c r="A24" s="16" t="inlineStr">
        <is>
          <t>TC-137</t>
        </is>
      </c>
      <c r="B24" s="14" t="inlineStr">
        <is>
          <t>Подтверждение рекомендации ИИ обновляет исходного лида</t>
        </is>
      </c>
      <c r="C24" s="14" t="inlineStr">
        <is>
          <t>Полный путь с записью и ИИ должен изменять уже захваченного лида, а не создавать новую сделку. Это регрессия критического риска синхронизации R-3.</t>
        </is>
      </c>
      <c r="D24" s="14" t="inlineStr">
        <is>
          <t>Получен полный результат ИИ. До звонка записаны ID исходного лида и число сделок в воронке. В тестовом разговоре названы значения полей.</t>
        </is>
      </c>
      <c r="E24" s="14" t="inlineStr">
        <is>
          <t>1. На экране «Рекомендация ИИ — подтвердите» проверь статус и значения.
2. При необходимости исправь одно значение.
3. Нажми «Подтвердить».
4. Открой в AmoCRM сделку по записанному ID.
5. Сверь статус, поля и итоговое примечание; затем пересчитай сделки.</t>
        </is>
      </c>
      <c r="F24" s="16" t="inlineStr">
        <is>
          <t>Critical</t>
        </is>
      </c>
      <c r="G24" s="16" t="inlineStr">
        <is>
          <t>Позитивный</t>
        </is>
      </c>
      <c r="H24" s="16" t="inlineStr">
        <is>
          <t>UI</t>
        </is>
      </c>
      <c r="I24" s="14" t="inlineStr">
        <is>
          <t>Обновлена именно исходная сделка: статус, значения и примечание соответствуют подтверждённым. Новая сделка не появилась, другие лиды не изменились.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109.6" customHeight="1">
      <c r="A25" s="16" t="inlineStr">
        <is>
          <t>TC-138</t>
        </is>
      </c>
      <c r="B25" s="14" t="inlineStr">
        <is>
          <t>Время следующего звонка сохраняется и откладывает лид</t>
        </is>
      </c>
      <c r="C25" s="14" t="inlineStr">
        <is>
          <t>Оператор может вручную назначить точное время повторного звонка. Подтверждение должно записать одну попытку и убрать лид из очереди до указанного времени.</t>
        </is>
      </c>
      <c r="D25" s="14" t="inlineStr">
        <is>
          <t>Открыт экран итога. Известен текущий номер попытки лида. Других доступных лидов нет.</t>
        </is>
      </c>
      <c r="E25" s="14" t="inlineStr">
        <is>
          <t>1. В поле «Время следующего звонка (для очереди)» выбери время через 10 минут.
2. Нажми «Подтвердить».
3. Закрой окно обзвона и проверь счётчик.
4. Через карточку или тестовый API проверь сохранённое время и число попыток.
5. После назначенного времени дождись обновления счётчика.</t>
        </is>
      </c>
      <c r="F25" s="16" t="inlineStr">
        <is>
          <t>Critical</t>
        </is>
      </c>
      <c r="G25" s="16" t="inlineStr">
        <is>
          <t>Позитивный</t>
        </is>
      </c>
      <c r="H25" s="16" t="inlineStr">
        <is>
          <t>UI+API</t>
        </is>
      </c>
      <c r="I25" s="14" t="inlineStr">
        <is>
          <t>Попытка увеличилась ровно на 1. Лид отсутствует в очереди до выбранного времени и возвращается после него; сохранённое время совпадает с выбранным по Ташкенту.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  <row r="26" ht="56.8" customHeight="1">
      <c r="A26" s="16" t="inlineStr">
        <is>
          <t>TC-139</t>
        </is>
      </c>
      <c r="B26" s="14" t="inlineStr">
        <is>
          <t>Двойное нажатие «Подтвердить» не дублирует результат</t>
        </is>
      </c>
      <c r="C26" s="14" t="inlineStr">
        <is>
          <t>Медленный ответ сети может заставить человека нажать кнопку повторно. Итог, попытка и изменение AmoCRM должны быть записаны только один раз.</t>
        </is>
      </c>
      <c r="D26" s="14" t="inlineStr">
        <is>
          <t>Открыт экран итога. Записаны номер попытки и история исходной сделки.</t>
        </is>
      </c>
      <c r="E26" s="14" t="inlineStr">
        <is>
          <t>1. Очень быстро дважды нажми «Подтвердить».
2. Дождись окончания загрузки.
3. Проверь число сообщений «Отправлено в AmoCRM».
4. Обнови историю сделки и номер попытки лида.</t>
        </is>
      </c>
      <c r="F26" s="16" t="inlineStr">
        <is>
          <t>Critical</t>
        </is>
      </c>
      <c r="G26" s="16" t="inlineStr">
        <is>
          <t>Негативный</t>
        </is>
      </c>
      <c r="H26" s="16" t="inlineStr">
        <is>
          <t>UI</t>
        </is>
      </c>
      <c r="I26" s="14" t="inlineStr">
        <is>
          <t>Уходит одно подтверждение: одно сообщение, одна запись изменения и увеличение попытки ровно на 1. Новый лид или дубликат результата не создаётся.</t>
        </is>
      </c>
      <c r="J26" s="14" t="inlineStr"/>
      <c r="K26" s="16" t="inlineStr">
        <is>
          <t>Not Run</t>
        </is>
      </c>
      <c r="L26" s="16" t="inlineStr">
        <is>
          <t>—</t>
        </is>
      </c>
    </row>
    <row r="27" ht="83.19999999999999" customHeight="1">
      <c r="A27" s="16" t="inlineStr">
        <is>
          <t>TC-140</t>
        </is>
      </c>
      <c r="B27" s="14" t="inlineStr">
        <is>
          <t>Длинный текст не обрезается молча</t>
        </is>
      </c>
      <c r="C27" s="14" t="inlineStr">
        <is>
          <t>Проверяем граничное значение текстового поля. Система не должна зависнуть, самовольно обрезать текст или сохранить только часть без предупреждения.</t>
        </is>
      </c>
      <c r="D27" s="14" t="inlineStr">
        <is>
          <t>В форме есть многострочное текстовое поле, связанное с тестовым полем AmoCRM. Открыт экран ручного итога.</t>
        </is>
      </c>
      <c r="E27" s="14" t="inlineStr">
        <is>
          <t>1. Вставь в многострочное поле текст длиной примерно 1000 символов с русскими и узбекскими буквами.
2. Выбери допустимый статус и нажми «Подтвердить».
3. Дождись сообщения об отправке.
4. Открой исходный лид в AmoCRM и сравни сохранённый текст посимвольно.</t>
        </is>
      </c>
      <c r="F27" s="16" t="inlineStr">
        <is>
          <t>Medium</t>
        </is>
      </c>
      <c r="G27" s="16" t="inlineStr">
        <is>
          <t>Граничный</t>
        </is>
      </c>
      <c r="H27" s="16" t="inlineStr">
        <is>
          <t>UI</t>
        </is>
      </c>
      <c r="I27" s="14" t="inlineStr">
        <is>
          <t>Страница не зависает. Если лимит позволяет — сохранён весь текст без повреждения символов; если лимит превышен — до отправки показана явная ошибка с допустимой длиной. Молчаливого обрезания нет.</t>
        </is>
      </c>
      <c r="J27" s="14" t="inlineStr"/>
      <c r="K27" s="16" t="inlineStr">
        <is>
          <t>Not Run</t>
        </is>
      </c>
      <c r="L27" s="16" t="inlineStr">
        <is>
          <t>—</t>
        </is>
      </c>
    </row>
    <row r="28" ht="83.19999999999999" customHeight="1">
      <c r="A28" s="16" t="inlineStr">
        <is>
          <t>TC-141</t>
        </is>
      </c>
      <c r="B28" s="14" t="inlineStr">
        <is>
          <t>Потеря сети при подтверждении не теряет введённые данные</t>
        </is>
      </c>
      <c r="C28" s="14" t="inlineStr">
        <is>
          <t>Критический отрицательный сценарий: при обрыве интернета оператор должен сохранить форму и безопасно повторить отправку после восстановления связи.</t>
        </is>
      </c>
      <c r="D28" s="14" t="inlineStr">
        <is>
          <t>Открыт экран итога. Введены заметные значения, выбран статус. Инструменты браузера позволяют включить Offline.</t>
        </is>
      </c>
      <c r="E28" s="14" t="inlineStr">
        <is>
          <t>1. Включи режим Offline.
2. Нажми «Подтвердить».
3. Проверь сообщение об ошибке и все введённые поля.
4. Верни сеть в режим Online.
5. Нажми «Подтвердить» ещё раз.
6. Проверь исходную сделку и номер попытки.</t>
        </is>
      </c>
      <c r="F28" s="16" t="inlineStr">
        <is>
          <t>Critical</t>
        </is>
      </c>
      <c r="G28" s="16" t="inlineStr">
        <is>
          <t>Негативный</t>
        </is>
      </c>
      <c r="H28" s="16" t="inlineStr">
        <is>
          <t>UI</t>
        </is>
      </c>
      <c r="I28" s="14" t="inlineStr">
        <is>
          <t>При ошибке форма остаётся на экране со всеми значениями, попытка ещё не записана. После повторной отправки исходный лид обновлён один раз, попытка увеличена на 1.</t>
        </is>
      </c>
      <c r="J28" s="14" t="inlineStr"/>
      <c r="K28" s="16" t="inlineStr">
        <is>
          <t>Not Run</t>
        </is>
      </c>
      <c r="L28" s="16" t="inlineStr">
        <is>
          <t>—</t>
        </is>
      </c>
    </row>
  </sheetData>
  <autoFilter ref="A1:L28"/>
  <conditionalFormatting sqref="K2:K5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8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8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8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109.6" customHeight="1">
      <c r="A2" s="16" t="inlineStr">
        <is>
          <t>TC-142</t>
        </is>
      </c>
      <c r="B2" s="14" t="inlineStr">
        <is>
          <t>Отвеченный звонок известного оператора анализируется автоматически</t>
        </is>
      </c>
      <c r="C2" s="14" t="inlineStr">
        <is>
          <t>AI должен запускаться только для настоящего разговора, который система может связать с оператором. Проверяем основной путь: запись, транскрипт, резюме и форма.</t>
        </is>
      </c>
      <c r="D2" s="14" t="inlineStr">
        <is>
          <t>Gemini доступен. У оператора заполнен действующий внутренний номер OnlinePBX. Тестовый звонок принят, длительность разговора больше 0 секунд, запись доступна.</t>
        </is>
      </c>
      <c r="E2" s="14" t="inlineStr">
        <is>
          <t>1. Проведи короткий тестовый разговор через Operator AI.
2. Открой «Звонки» и найди эту сделку.
3. Открой строку звонка, затем страницу «Транскрипт звонка».
4. Подожди завершения фоновой обработки, не нажимая «Анализировать».
5. Обнови страницу один раз.</t>
        </is>
      </c>
      <c r="F2" s="16" t="inlineStr">
        <is>
          <t>Critical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Без ручного запуска появляется отметка «Проанализировано», текст разговора, краткое резюме и найденные значения формы. Результат относится к нужному звонку.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70" customHeight="1">
      <c r="A3" s="16" t="inlineStr">
        <is>
          <t>TC-143</t>
        </is>
      </c>
      <c r="B3" s="14" t="inlineStr">
        <is>
          <t>Звонок с нулевой длительностью не отправляется в Gemini</t>
        </is>
      </c>
      <c r="C3" s="14" t="inlineStr">
        <is>
          <t>Недозвон, где никто не говорил, не должен расходовать AI-квоту и создавать выдуманную транскрипцию.</t>
        </is>
      </c>
      <c r="D3" s="14" t="inlineStr">
        <is>
          <t>Есть звонок известного оператора с `dialog_duration = 0`. Доступны журнал приложения на staging и карточка звонка.</t>
        </is>
      </c>
      <c r="E3" s="14" t="inlineStr">
        <is>
          <t>1. Открой карточку этого звонка.
2. Подожди два цикла загрузки истории — около 70 секунд.
3. Открой «Транскрипт звонка».
4. Проверь журнал staging по ID звонка.</t>
        </is>
      </c>
      <c r="F3" s="16" t="inlineStr">
        <is>
          <t>High</t>
        </is>
      </c>
      <c r="G3" s="16" t="inlineStr">
        <is>
          <t>Негативный</t>
        </is>
      </c>
      <c r="H3" s="16" t="inlineStr">
        <is>
          <t>UI+API</t>
        </is>
      </c>
      <c r="I3" s="14" t="inlineStr">
        <is>
          <t>Звонок остаётся «Не проанализировано», транскрипт и резюме пусты. В журнале нет запроса этого звонка к Gemini и нет бесконечных повторов.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83.19999999999999" customHeight="1">
      <c r="A4" s="16" t="inlineStr">
        <is>
          <t>TC-144</t>
        </is>
      </c>
      <c r="B4" s="14" t="inlineStr">
        <is>
          <t>Звонок без найденного оператора не анализируется</t>
        </is>
      </c>
      <c r="C4" s="14" t="inlineStr">
        <is>
          <t>Если внутренний номер не принадлежит оператору данного РОП, система не должна тратить Gemini на чужой разговор или показывать его оператору.</t>
        </is>
      </c>
      <c r="D4" s="14" t="inlineStr">
        <is>
          <t>В тестовом OnlinePBX есть завершённый отвеченный звонок с внутреннего номера, который не назначен ни одному оператору тестового РОП.</t>
        </is>
      </c>
      <c r="E4" s="14" t="inlineStr">
        <is>
          <t>1. Дождись загрузки истории OnlinePBX.
2. Под оператором открой «Звонки» и попробуй найти этот звонок.
3. Под РОП открой карточки операторов и их записи звонков.
4. Проверь журнал staging по UUID звонка.</t>
        </is>
      </c>
      <c r="F4" s="16" t="inlineStr">
        <is>
          <t>Critical</t>
        </is>
      </c>
      <c r="G4" s="16" t="inlineStr">
        <is>
          <t>Негативный</t>
        </is>
      </c>
      <c r="H4" s="16" t="inlineStr">
        <is>
          <t>UI+API</t>
        </is>
      </c>
      <c r="I4" s="14" t="inlineStr">
        <is>
          <t>Чужой звонок не появляется у операторов и не отправляется в Gemini. Расшифровки, формы и расхода AI по этому UUID нет.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56.8" customHeight="1">
      <c r="A5" s="16" t="inlineStr">
        <is>
          <t>TC-145</t>
        </is>
      </c>
      <c r="B5" s="14" t="inlineStr">
        <is>
          <t>Звонок из другой выбранной воронки не расходует AI</t>
        </is>
      </c>
      <c r="C5" s="14" t="inlineStr">
        <is>
          <t>Когда РОП выбрал рабочую воронку, автоматический AI обрабатывает только звонки лидов этой воронки. Это защищает общий аккаунт телефонии от лишних расходов.</t>
        </is>
      </c>
      <c r="D5" s="14" t="inlineStr">
        <is>
          <t>У РОП две воронки A и B. В «Правилах» выбрана A. Есть по одному отвеченному звонку известного оператора по лидам A и B.</t>
        </is>
      </c>
      <c r="E5" s="14" t="inlineStr">
        <is>
          <t>1. Дождись загрузки обоих звонков.
2. Открой транскрипт звонка лида A.
3. Открой транскрипт звонка лида B.
4. Сравни отметки анализа и проверь журнал по двум ID.</t>
        </is>
      </c>
      <c r="F5" s="16" t="inlineStr">
        <is>
          <t>High</t>
        </is>
      </c>
      <c r="G5" s="16" t="inlineStr">
        <is>
          <t>Негативный</t>
        </is>
      </c>
      <c r="H5" s="16" t="inlineStr">
        <is>
          <t>UI+API</t>
        </is>
      </c>
      <c r="I5" s="14" t="inlineStr">
        <is>
          <t>Звонок лида A анализируется автоматически. Звонок лида B не отправляется в Gemini автоматически и остаётся «Не проанализировано».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109.6" customHeight="1">
      <c r="A6" s="16" t="inlineStr">
        <is>
          <t>TC-146</t>
        </is>
      </c>
      <c r="B6" s="14" t="inlineStr">
        <is>
          <t>Успешный автоматический анализ выполняется один раз</t>
        </is>
      </c>
      <c r="C6" s="14" t="inlineStr">
        <is>
          <t>Повторная доставка вебхука и повторный опрос истории не должны снова отправлять уже готовую запись в Gemini.</t>
        </is>
      </c>
      <c r="D6" s="14" t="inlineStr">
        <is>
          <t>Один тестовый звонок уже получил транскрипт, резюме и сегменты. Доступны журнал staging и UUID звонка.</t>
        </is>
      </c>
      <c r="E6" s="14" t="inlineStr">
        <is>
          <t>1. Запиши время сообщения об успешном анализе в журнале.
2. Подожди три цикла опроса истории — около 100 секунд.
3. Если есть безопасный способ, повторно доставь тот же тестовый вебхук.
4. Обнови страницу транскрипта.
5. Снова найди UUID звонка в журнале.</t>
        </is>
      </c>
      <c r="F6" s="16" t="inlineStr">
        <is>
          <t>High</t>
        </is>
      </c>
      <c r="G6" s="16" t="inlineStr">
        <is>
          <t>Негативный</t>
        </is>
      </c>
      <c r="H6" s="16" t="inlineStr">
        <is>
          <t>UI+API</t>
        </is>
      </c>
      <c r="I6" s="14" t="inlineStr">
        <is>
          <t>Транскрипт не дублируется и не меняется самопроизвольно. В журнале ровно один успешный автоматический запуск Gemini для этого звонка.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70" customHeight="1">
      <c r="A7" s="16" t="inlineStr">
        <is>
          <t>TC-147</t>
        </is>
      </c>
      <c r="B7" s="14" t="inlineStr">
        <is>
          <t>Неудачный автоанализ не создаёт бесконечный фон повторов</t>
        </is>
      </c>
      <c r="C7" s="14" t="inlineStr">
        <is>
          <t>В текущем коде автоматическая попытка выполняется один раз. После ошибки звонок оставляется оператору для ручного повторного запуска — так сервис не копит опасный backlog.</t>
        </is>
      </c>
      <c r="D7" s="14" t="inlineStr">
        <is>
          <t>На staging безопасно вызвана временная ошибка Gemini для одного нового звонка с записью. Известны ID звонка и время первой ошибки.</t>
        </is>
      </c>
      <c r="E7" s="14" t="inlineStr">
        <is>
          <t>1. Дождись первой ошибки автоматического анализа.
2. Не нажимай кнопки на странице звонка.
3. Подожди 3 минуты и наблюдай журнал и состояние сервиса.
4. Открой «Транскрипт звонка».</t>
        </is>
      </c>
      <c r="F7" s="16" t="inlineStr">
        <is>
          <t>Critical</t>
        </is>
      </c>
      <c r="G7" s="16" t="inlineStr">
        <is>
          <t>Негативный</t>
        </is>
      </c>
      <c r="H7" s="16" t="inlineStr">
        <is>
          <t>UI+API</t>
        </is>
      </c>
      <c r="I7" s="14" t="inlineStr">
        <is>
          <t>После первой автоматической ошибки новых фоновых попыток по этому ID нет. Сервис продолжает отвечать, страница показывает «Повторить анализ».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83.19999999999999" customHeight="1">
      <c r="A8" s="16" t="inlineStr">
        <is>
          <t>TC-148</t>
        </is>
      </c>
      <c r="B8" s="14" t="inlineStr">
        <is>
          <t>«Повторить анализ» восстанавливает неудачный звонок</t>
        </is>
      </c>
      <c r="C8" s="14" t="inlineStr">
        <is>
          <t>Оператор должен вручную перезапустить конкретный звонок после восстановления Gemini или пополнения лимита.</t>
        </is>
      </c>
      <c r="D8" s="14" t="inlineStr">
        <is>
          <t>Есть звонок из TC-147 без транскрипта. Gemini снова доступен, аудиозапись сохранена.</t>
        </is>
      </c>
      <c r="E8" s="14" t="inlineStr">
        <is>
          <t>1. Открой страницу «Транскрипт звонка».
2. Нажми «Повторить анализ».
3. Не нажимай кнопку повторно во время загрузки.
4. Дождись отметки «Проанализировано».
5. Проверь транскрипт, резюме и «Форму, заполненную ИИ».</t>
        </is>
      </c>
      <c r="F8" s="16" t="inlineStr">
        <is>
          <t>Critical</t>
        </is>
      </c>
      <c r="G8" s="16" t="inlineStr">
        <is>
          <t>Позитивный</t>
        </is>
      </c>
      <c r="H8" s="16" t="inlineStr">
        <is>
          <t>UI</t>
        </is>
      </c>
      <c r="I8" s="14" t="inlineStr">
        <is>
          <t>Ручной повтор запускается один раз и успешно заполняет все блоки. Ошибка исчезает, а другой звонок не изменяется.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70" customHeight="1">
      <c r="A9" s="16" t="inlineStr">
        <is>
          <t>TC-149</t>
        </is>
      </c>
      <c r="B9" s="14" t="inlineStr">
        <is>
          <t>Отсутствующая аудиозапись даёт понятную ошибку</t>
        </is>
      </c>
      <c r="C9" s="14" t="inlineStr">
        <is>
          <t>«Мёртвый» звонок без файла записи не должен ронять сервис, бесконечно повторяться или создавать пустой выдуманный текст.</t>
        </is>
      </c>
      <c r="D9" s="14" t="inlineStr">
        <is>
          <t>Есть тестовое событие звонка без `audio_object_key` и без рабочей ссылки на запись.</t>
        </is>
      </c>
      <c r="E9" s="14" t="inlineStr">
        <is>
          <t>1. Открой звонок со статусом «Не проанализировано».
2. Нажми «Анализировать».
3. Прочитай сообщение об ошибке.
4. Обнови страницу и повтори действие один раз.
5. Проверь доступность других страниц Operator AI.</t>
        </is>
      </c>
      <c r="F9" s="16" t="inlineStr">
        <is>
          <t>Critical</t>
        </is>
      </c>
      <c r="G9" s="16" t="inlineStr">
        <is>
          <t>Негативный</t>
        </is>
      </c>
      <c r="H9" s="16" t="inlineStr">
        <is>
          <t>UI</t>
        </is>
      </c>
      <c r="I9" s="14" t="inlineStr">
        <is>
          <t>Показана понятная ошибка отсутствия аудио, транскрипт не придуман. Другие страницы работают; фоновая лавина запросов и ошибка 502 не возникают.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109.6" customHeight="1">
      <c r="A10" s="16" t="inlineStr">
        <is>
          <t>TC-150</t>
        </is>
      </c>
      <c r="B10" s="14" t="inlineStr">
        <is>
          <t>Одновременно анализируются не более трёх звонков</t>
        </is>
      </c>
      <c r="C10" s="14" t="inlineStr">
        <is>
          <t>Регрессия на падение staging: множество записей не должны одновременно занять всю память. Код ограничивает расшифровку тремя параллельными задачами.</t>
        </is>
      </c>
      <c r="D10" s="14" t="inlineStr">
        <is>
          <t>Подготовлено 6 коротких отвеченных звонков с аудио. Доступны журнал и график памяти тестового контейнера. Проверка выполняется только на staging.</t>
        </is>
      </c>
      <c r="E10" s="14" t="inlineStr">
        <is>
          <t>1. Одновременно доставь в staging шесть тестовых событий звонков.
2. Наблюдай журнал начала и завершения анализа каждого ID.
3. В течение обработки обновляй страницу входа и раздел «Звонки».
4. После завершения посчитай максимальное число одновременно выполнявшихся анализов.</t>
        </is>
      </c>
      <c r="F10" s="16" t="inlineStr">
        <is>
          <t>Critical</t>
        </is>
      </c>
      <c r="G10" s="16" t="inlineStr">
        <is>
          <t>Граничный</t>
        </is>
      </c>
      <c r="H10" s="16" t="inlineStr">
        <is>
          <t>API</t>
        </is>
      </c>
      <c r="I10" s="14" t="inlineStr">
        <is>
          <t>Одновременно выполняется не более 3 расшифровок; остальные ждут. Staging не перезапускается, отвечает без 502, после очереди обработаны все шесть звонков.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122.8" customHeight="1">
      <c r="A11" s="16" t="inlineStr">
        <is>
          <t>TC-151</t>
        </is>
      </c>
      <c r="B11" s="14" t="inlineStr">
        <is>
          <t>Исчерпание лимита Gemini не останавливает весь продукт</t>
        </is>
      </c>
      <c r="C11" s="14" t="inlineStr">
        <is>
          <t>Риск R-12: отказ по биллингу ломает AI, но не должен ломать вход, очередь, ручное подтверждение и другие компании. Неудачные звонки не копятся для массового автозапуска.</t>
        </is>
      </c>
      <c r="D11" s="14" t="inlineStr">
        <is>
          <t>На staging безопасно подставлен тестовый отказ Gemini, эквивалентный исчерпанному лимиту. Есть отвеченный звонок с записью.</t>
        </is>
      </c>
      <c r="E11" s="14" t="inlineStr">
        <is>
          <t>1. Дождись автоматической попытки анализа и открой страницу звонка.
2. Проверь сообщение и отсутствие транскрипта.
3. Открой «Обзвон», список «Звонки» и кабинет другого тестового РОП.
4. Верни Gemini в рабочее состояние и подожди 2 минуты без ручных действий.
5. Нажми «Повторить анализ» только для тестового звонка.</t>
        </is>
      </c>
      <c r="F11" s="16" t="inlineStr">
        <is>
          <t>Critical</t>
        </is>
      </c>
      <c r="G11" s="16" t="inlineStr">
        <is>
          <t>Негативный</t>
        </is>
      </c>
      <c r="H11" s="16" t="inlineStr">
        <is>
          <t>UI+API</t>
        </is>
      </c>
      <c r="I11" s="14" t="inlineStr">
        <is>
          <t>AI-звонок показывает ошибку, но остальные функции доступны. После восстановления старый звонок сам не создаёт массовых повторов; ручной повтор успешно его обрабатывает.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70" customHeight="1">
      <c r="A12" s="16" t="inlineStr">
        <is>
          <t>TC-152</t>
        </is>
      </c>
      <c r="B12" s="14" t="inlineStr">
        <is>
          <t>Узбекская речь остаётся на узбекском</t>
        </is>
      </c>
      <c r="C12" s="14" t="inlineStr">
        <is>
          <t>Gemini не должен переводить разговор на русский или английский. Проверяем качество на заранее подготовленной «золотой» записи с известным текстом.</t>
        </is>
      </c>
      <c r="D12" s="14" t="inlineStr">
        <is>
          <t>Есть качественная запись узбекского разговора и проверенный человеком эталон текста. В записи названы имя, филиал и дата.</t>
        </is>
      </c>
      <c r="E12" s="14" t="inlineStr">
        <is>
          <t>1. Запусти анализ записи.
2. Открой «Транскрипт звонка».
3. Сравни текст и «Краткое резюме» с эталоном.
4. Проверь имена, числа, филиал и дату.</t>
        </is>
      </c>
      <c r="F12" s="16" t="inlineStr">
        <is>
          <t>High</t>
        </is>
      </c>
      <c r="G12" s="16" t="inlineStr">
        <is>
          <t>Позитивный</t>
        </is>
      </c>
      <c r="H12" s="16" t="inlineStr">
        <is>
          <t>UI</t>
        </is>
      </c>
      <c r="I12" s="14" t="inlineStr">
        <is>
          <t>Транскрипт и резюме написаны на узбекском, смысл и ключевые факты совпадают с записью. Английские фразы не придуманы.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56.8" customHeight="1">
      <c r="A13" s="16" t="inlineStr">
        <is>
          <t>TC-153</t>
        </is>
      </c>
      <c r="B13" s="14" t="inlineStr">
        <is>
          <t>Русская речь остаётся на русском</t>
        </is>
      </c>
      <c r="C13" s="14" t="inlineStr">
        <is>
          <t>Отдельно проверяем русскую запись: язык, имена, числа и договорённости должны сохраниться без перевода.</t>
        </is>
      </c>
      <c r="D13" s="14" t="inlineStr">
        <is>
          <t>Есть качественная русская «золотая» запись и проверенный эталон.</t>
        </is>
      </c>
      <c r="E13" s="14" t="inlineStr">
        <is>
          <t>1. Запусти анализ русской записи.
2. Открой транскрипт и краткое резюме.
3. Сравни их с эталоном по именам, числам, месту и договорённости.</t>
        </is>
      </c>
      <c r="F13" s="16" t="inlineStr">
        <is>
          <t>High</t>
        </is>
      </c>
      <c r="G13" s="16" t="inlineStr">
        <is>
          <t>Позитивный</t>
        </is>
      </c>
      <c r="H13" s="16" t="inlineStr">
        <is>
          <t>UI</t>
        </is>
      </c>
      <c r="I13" s="14" t="inlineStr">
        <is>
          <t>Текст и резюме на русском. Ключевые факты верны, узбекский или английский перевод вместо оригинала не появился.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96.39999999999999" customHeight="1">
      <c r="A14" s="16" t="inlineStr">
        <is>
          <t>TC-154</t>
        </is>
      </c>
      <c r="B14" s="14" t="inlineStr">
        <is>
          <t>Смешанная речь и собеседники разделены правильно</t>
        </is>
      </c>
      <c r="C14" s="14" t="inlineStr">
        <is>
          <t>В реальных звонках русский и узбекский смешиваются. Реплики клиента и оператора должны быть подписаны и идти в правильном порядке.</t>
        </is>
      </c>
      <c r="D14" s="14" t="inlineStr">
        <is>
          <t>Есть запись, где оператор и клиент несколько раз переключаются между русским и узбекским. Известно имя оператора.</t>
        </is>
      </c>
      <c r="E14" s="14" t="inlineStr">
        <is>
          <t>1. Проанализируй запись и открой «Транскрипт звонка».
2. В блоке «Разговор» последовательно прочитай все реплики.
3. Проверь подписи «Оператор» и «Клиент» и имя оператора.
4. Нажми несколько реплик и сравни начало воспроизведения с соответствующим местом записи.</t>
        </is>
      </c>
      <c r="F14" s="16" t="inlineStr">
        <is>
          <t>High</t>
        </is>
      </c>
      <c r="G14" s="16" t="inlineStr">
        <is>
          <t>Граничный</t>
        </is>
      </c>
      <c r="H14" s="16" t="inlineStr">
        <is>
          <t>UI</t>
        </is>
      </c>
      <c r="I14" s="14" t="inlineStr">
        <is>
          <t>Языки сохранены так, как звучали. Реплики не переставлены, говорящие не перепутаны, переход по реплике включает правильный фрагмент аудио.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70" customHeight="1">
      <c r="A15" s="16" t="inlineStr">
        <is>
          <t>TC-155</t>
        </is>
      </c>
      <c r="B15" s="14" t="inlineStr">
        <is>
          <t>AI не придумывает факты из технических данных звонка</t>
        </is>
      </c>
      <c r="C15" s="14" t="inlineStr">
        <is>
          <t>Имя оператора, номера и направление передаются Gemini только как служебный контекст. Они не должны появляться в тексте как будто были произнесены.</t>
        </is>
      </c>
      <c r="D15" s="14" t="inlineStr">
        <is>
          <t>Есть запись, где собеседники не называют имя оператора и номера телефонов. Эти данные известны системе из метаданных.</t>
        </is>
      </c>
      <c r="E15" s="14" t="inlineStr">
        <is>
          <t>1. Запусти анализ и открой транскрипт.
2. Прочитай транскрипт и резюме полностью.
3. Поищи имя оператора и номера caller/callee.
4. Прослушай запись и убедись, что найденные фразы действительно звучали.</t>
        </is>
      </c>
      <c r="F15" s="16" t="inlineStr">
        <is>
          <t>Critical</t>
        </is>
      </c>
      <c r="G15" s="16" t="inlineStr">
        <is>
          <t>Негативный</t>
        </is>
      </c>
      <c r="H15" s="16" t="inlineStr">
        <is>
          <t>UI</t>
        </is>
      </c>
      <c r="I15" s="14" t="inlineStr">
        <is>
          <t>Непроизнесённые имя и номера не вставлены в транскрипт или резюме. AI не выдумывает приветствие, потребность, дату или исход разговора.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70" customHeight="1">
      <c r="A16" s="16" t="inlineStr">
        <is>
          <t>TC-156</t>
        </is>
      </c>
      <c r="B16" s="14" t="inlineStr">
        <is>
          <t>Описание компании помогает распознавать названия</t>
        </is>
      </c>
      <c r="C16" s="14" t="inlineStr">
        <is>
          <t>Текст «О компании (для ИИ)» передаётся в анализ как словарь контекста. Проверяем сложные названия филиалов и услуг.</t>
        </is>
      </c>
      <c r="D16" s="14" t="inlineStr">
        <is>
          <t>В «Критериях» сохранено описание с редкими тестовыми названиями филиала и курса. Есть запись, где клиент произносит именно эти названия.</t>
        </is>
      </c>
      <c r="E16" s="14" t="inlineStr">
        <is>
          <t>1. Открой «Критерии» и проверь сохранённый текст «О компании (для ИИ)».
2. Проанализируй подготовленный звонок.
3. Сравни написание названий в транскрипте, резюме и форме с описанием.</t>
        </is>
      </c>
      <c r="F16" s="16" t="inlineStr">
        <is>
          <t>Medium</t>
        </is>
      </c>
      <c r="G16" s="16" t="inlineStr">
        <is>
          <t>Позитивный</t>
        </is>
      </c>
      <c r="H16" s="16" t="inlineStr">
        <is>
          <t>UI</t>
        </is>
      </c>
      <c r="I16" s="14" t="inlineStr">
        <is>
          <t>Редкие названия записаны так же, как в описании компании, если именно они произнесены. AI не добавляет остальные названия из описания без причины.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83.19999999999999" customHeight="1">
      <c r="A17" s="16" t="inlineStr">
        <is>
          <t>TC-157</t>
        </is>
      </c>
      <c r="B17" s="14" t="inlineStr">
        <is>
          <t>Телефон, оператор и время звонка заполняются из метаданных</t>
        </is>
      </c>
      <c r="C17" s="14" t="inlineStr">
        <is>
          <t>Поля с ясными названиями могут быть заполнены без распознавания речи: система уже знает телефон клиента, оператора и время события.</t>
        </is>
      </c>
      <c r="D17" s="14" t="inlineStr">
        <is>
          <t>В форме есть поля с подсказками «phone/telefon», «operator» и точным смыслом «call vaqti». Известны реальные значения тестового звонка.</t>
        </is>
      </c>
      <c r="E17" s="14" t="inlineStr">
        <is>
          <t>1. Проанализируй тестовый звонок.
2. Открой блок «Форма, заполненная ИИ».
3. Сверь телефон с номером клиента, оператора — с выполнившим звонок сотрудником.
4. Сверь время звонка с событием по часовому поясу Ташкента.</t>
        </is>
      </c>
      <c r="F17" s="16" t="inlineStr">
        <is>
          <t>High</t>
        </is>
      </c>
      <c r="G17" s="16" t="inlineStr">
        <is>
          <t>Позитивный</t>
        </is>
      </c>
      <c r="H17" s="16" t="inlineStr">
        <is>
          <t>UI</t>
        </is>
      </c>
      <c r="I17" s="14" t="inlineStr">
        <is>
          <t>Все три значения заполнены из правильного звонка. Телефон не заменён внутренним номером, имя не взято у другого оператора, время не сдвинуто часовым поясом.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83.19999999999999" customHeight="1">
      <c r="A18" s="16" t="inlineStr">
        <is>
          <t>TC-158</t>
        </is>
      </c>
      <c r="B18" s="14" t="inlineStr">
        <is>
          <t>Время звонка не попадает в чужое поле времени</t>
        </is>
      </c>
      <c r="C18" s="14" t="inlineStr">
        <is>
          <t>Проверяем исправление слишком широкого сопоставления. Поля встречи, оплаты и свободного времени не должны автоматически получать время самого звонка.</t>
        </is>
      </c>
      <c r="D18" s="14" t="inlineStr">
        <is>
          <t>В форме одновременно есть `call vaqti`, `uchrashuv vaqti`, `to'lov qilish vaqti` и `mijoz bo'sh vaqti`. В разговоре эти дополнительные времена не назывались.</t>
        </is>
      </c>
      <c r="E18" s="14" t="inlineStr">
        <is>
          <t>1. Проанализируй тестовый звонок.
2. Открой заполненную форму.
3. Сравни четыре поля времени.</t>
        </is>
      </c>
      <c r="F18" s="16" t="inlineStr">
        <is>
          <t>Critical</t>
        </is>
      </c>
      <c r="G18" s="16" t="inlineStr">
        <is>
          <t>Негативный</t>
        </is>
      </c>
      <c r="H18" s="16" t="inlineStr">
        <is>
          <t>UI</t>
        </is>
      </c>
      <c r="I18" s="14" t="inlineStr">
        <is>
          <t>Время события автоматически стоит только в `call vaqti`. Остальные три поля остаются пустыми, потому что клиент их не называл.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70" customHeight="1">
      <c r="A19" s="16" t="inlineStr">
        <is>
          <t>TC-159</t>
        </is>
      </c>
      <c r="B19" s="14" t="inlineStr">
        <is>
          <t>AI заполняет все подтверждённые разговором поля</t>
        </is>
      </c>
      <c r="C19" s="14" t="inlineStr">
        <is>
          <t>Проверяем, что анализ читает весь разговор и кратко переносит факты в подходящие поля, не ограничиваясь одним-двумя значениями.</t>
        </is>
      </c>
      <c r="D19" s="14" t="inlineStr">
        <is>
          <t>Форма содержит имя, цель, филиал, удобное время и комментарий. В «золотой» записи клиент ясно сообщает все пять значений.</t>
        </is>
      </c>
      <c r="E19" s="14" t="inlineStr">
        <is>
          <t>1. Проанализируй запись.
2. Открой «Форму, заполненную ИИ».
3. Сверь каждое из пяти полей с разговором.
4. Проверь, что длинный ответ клиента кратко и без потери смысла перенесён в комментарий.</t>
        </is>
      </c>
      <c r="F19" s="16" t="inlineStr">
        <is>
          <t>Critical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Заполнены все пять подтверждённых полей. Значения относятся к своим полям, не содержат выдуманных фактов и не взяты из другого звонка.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83.19999999999999" customHeight="1">
      <c r="A20" s="16" t="inlineStr">
        <is>
          <t>TC-160</t>
        </is>
      </c>
      <c r="B20" s="14" t="inlineStr">
        <is>
          <t>Поле-список принимает только вариант из AmoCRM</t>
        </is>
      </c>
      <c r="C20" s="14" t="inlineStr">
        <is>
          <t>Для списка филиалов или услуг AI обязан вернуть точный существующий вариант. Придуманный или устаревший вариант нельзя отправлять в AmoCRM.</t>
        </is>
      </c>
      <c r="D20" s="14" t="inlineStr">
        <is>
          <t>Поле-список имеет варианты «Bodomzor» и «Mirzo Ulug'bek». Подготовлены две записи: в первой клиент называет Bodomzor, во второй — отсутствующий филиал.</t>
        </is>
      </c>
      <c r="E20" s="14" t="inlineStr">
        <is>
          <t>1. Проанализируй первую запись и проверь значение списка.
2. Проанализируй вторую запись и проверь то же поле.
3. Раскрой список на экране подтверждения и сравни доступные варианты.</t>
        </is>
      </c>
      <c r="F20" s="16" t="inlineStr">
        <is>
          <t>Critical</t>
        </is>
      </c>
      <c r="G20" s="16" t="inlineStr">
        <is>
          <t>Негативный</t>
        </is>
      </c>
      <c r="H20" s="16" t="inlineStr">
        <is>
          <t>UI</t>
        </is>
      </c>
      <c r="I20" s="14" t="inlineStr">
        <is>
          <t>Для первой записи выбран точный вариант «Bodomzor». Для второй поле пустое; AI не создаёт новый вариант и не подменяет его случайным существующим.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70" customHeight="1">
      <c r="A21" s="16" t="inlineStr">
        <is>
          <t>TC-161</t>
        </is>
      </c>
      <c r="B21" s="14" t="inlineStr">
        <is>
          <t>Отсутствующее обязательное значение отмечает форму неполной</t>
        </is>
      </c>
      <c r="C21" s="14" t="inlineStr">
        <is>
          <t>Если клиент не сообщил обязательный факт, AI должен оставить поле пустым и явно сообщить оператору, что его нужно заполнить.</t>
        </is>
      </c>
      <c r="D21" s="14" t="inlineStr">
        <is>
          <t>Одно поле формы помечено «Обязательно». В тестовой записи нет ответа на него.</t>
        </is>
      </c>
      <c r="E21" s="14" t="inlineStr">
        <is>
          <t>1. Проанализируй запись.
2. Открой заполненную форму на странице транскрипта и экран подтверждения звонка.
3. Найди обязательное поле.
4. Проверь, не появилось ли выдуманное значение.</t>
        </is>
      </c>
      <c r="F21" s="16" t="inlineStr">
        <is>
          <t>High</t>
        </is>
      </c>
      <c r="G21" s="16" t="inlineStr">
        <is>
          <t>Негативный</t>
        </is>
      </c>
      <c r="H21" s="16" t="inlineStr">
        <is>
          <t>UI</t>
        </is>
      </c>
      <c r="I21" s="14" t="inlineStr">
        <is>
          <t>Поле пустое и входит в список незаполненных обязательных полей. На подтверждении видна подсказка «Обязательное поле не заполнено»; выдуманного ответа нет.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83.19999999999999" customHeight="1">
      <c r="A22" s="16" t="inlineStr">
        <is>
          <t>TC-162</t>
        </is>
      </c>
      <c r="B22" s="14" t="inlineStr">
        <is>
          <t>Статус выбирается по фактическому исходу разговора</t>
        </is>
      </c>
      <c r="C22" s="14" t="inlineStr">
        <is>
          <t>Проверяем три главных исхода: встреча, согласованный перезвон и незавершённый разговор. AI должен учитывать подсказки статусов текущей воронки.</t>
        </is>
      </c>
      <c r="D22" s="14" t="inlineStr">
        <is>
          <t>В воронке есть статусы встречи, `Keyingi qo'ng'iroq` и `Chala gaplashdi` с понятными подсказками. Подготовлены три отдельные «золотые» записи этих исходов.</t>
        </is>
      </c>
      <c r="E22" s="14" t="inlineStr">
        <is>
          <t>1. Поочерёдно проанализируй три записи.
2. Для каждой открой рекомендацию статуса.
3. Сверь рекомендацию с тем, что реально произошло в разговоре.
4. Убедись, что статус существует именно в воронке соответствующего лида.</t>
        </is>
      </c>
      <c r="F22" s="16" t="inlineStr">
        <is>
          <t>Critical</t>
        </is>
      </c>
      <c r="G22" s="16" t="inlineStr">
        <is>
          <t>Позитивный</t>
        </is>
      </c>
      <c r="H22" s="16" t="inlineStr">
        <is>
          <t>UI</t>
        </is>
      </c>
      <c r="I22" s="14" t="inlineStr">
        <is>
          <t>Встреча получает статус встречи, конкретный перезвон — `Keyingi qo'ng'iroq`, частично собранные данные — `Chala gaplashdi`. Статус не взят из чужой воронки.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83.19999999999999" customHeight="1">
      <c r="A23" s="16" t="inlineStr">
        <is>
          <t>TC-163</t>
        </is>
      </c>
      <c r="B23" s="14" t="inlineStr">
        <is>
          <t>Продуктивный разговор не получает системный плохой статус</t>
        </is>
      </c>
      <c r="C23" s="14" t="inlineStr">
        <is>
          <t>Если клиент ответил и договорился о следующем шаге, AI не имеет права рекомендовать `Ko'tarmadi`, `Yangi` или `Sifatsiz`.</t>
        </is>
      </c>
      <c r="D23" s="14" t="inlineStr">
        <is>
          <t>Есть запись живого разговора, где клиент явно согласился на встречу. В каталоге РОП присутствуют статусы с названиями `Ko'tarmadi`, `Yangi` и `Sifatsiz`.</t>
        </is>
      </c>
      <c r="E23" s="14" t="inlineStr">
        <is>
          <t>1. Проанализируй запись.
2. Открой рекомендацию на экране итога.
3. Проверь выбранный статус и доступные варианты списка.</t>
        </is>
      </c>
      <c r="F23" s="16" t="inlineStr">
        <is>
          <t>Critical</t>
        </is>
      </c>
      <c r="G23" s="16" t="inlineStr">
        <is>
          <t>Негативный</t>
        </is>
      </c>
      <c r="H23" s="16" t="inlineStr">
        <is>
          <t>UI</t>
        </is>
      </c>
      <c r="I23" s="14" t="inlineStr">
        <is>
          <t>Рекомендован статус встречи. `Ko'tarmadi`, `Yangi` и `Sifatsiz` не выбраны и не предлагаются оператору как итог продуктивного звонка.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83.19999999999999" customHeight="1">
      <c r="A24" s="16" t="inlineStr">
        <is>
          <t>TC-164</t>
        </is>
      </c>
      <c r="B24" s="14" t="inlineStr">
        <is>
          <t>Относительные даты считаются от даты звонка в Ташкенте</t>
        </is>
      </c>
      <c r="C24" s="14" t="inlineStr">
        <is>
          <t>Риск R-4: слова «сегодня», «завтра» и день недели должны превратиться в конкретную дату относительно самого звонка, а не текущего времени сервера.</t>
        </is>
      </c>
      <c r="D24" s="14" t="inlineStr">
        <is>
          <t>Есть три записи с известной датой события по Asia/Tashkent: клиент говорит «сегодня», «завтра в 15:30» и «в понедельник». Форма содержит поле даты/времени.</t>
        </is>
      </c>
      <c r="E24" s="14" t="inlineStr">
        <is>
          <t>1. Проанализируй каждую запись.
2. Запиши полученную дату и время.
3. Самостоятельно посчитай ожидаемые даты от даты звонка по календарю Ташкента.
4. Для «понедельника» проверь именно следующий понедельник.</t>
        </is>
      </c>
      <c r="F24" s="16" t="inlineStr">
        <is>
          <t>Critical</t>
        </is>
      </c>
      <c r="G24" s="16" t="inlineStr">
        <is>
          <t>Граничный</t>
        </is>
      </c>
      <c r="H24" s="16" t="inlineStr">
        <is>
          <t>UI</t>
        </is>
      </c>
      <c r="I24" s="14" t="inlineStr">
        <is>
          <t>«Сегодня» равно дате звонка, «завтра» — следующему календарному дню в 15:30, «понедельник» — следующему понедельнику. Формат пригоден для календарного поля.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83.19999999999999" customHeight="1">
      <c r="A25" s="16" t="inlineStr">
        <is>
          <t>TC-165</t>
        </is>
      </c>
      <c r="B25" s="14" t="inlineStr">
        <is>
          <t>Ключ Gemini не появляется в адресах и журналах</t>
        </is>
      </c>
      <c r="C25" s="14" t="inlineStr">
        <is>
          <t>Проверка закрытого риска R-11. Секрет передаётся только в заголовке запроса и не должен попасть в URL, текст сетевой ошибки или журнал контейнера.</t>
        </is>
      </c>
      <c r="D25" s="14" t="inlineStr">
        <is>
          <t>Есть доступ только для чтения к журналу staging и известна безопасная контрольная часть текущего тестового ключа из .env. Сам ключ в кейс не копируется.</t>
        </is>
      </c>
      <c r="E25" s="14" t="inlineStr">
        <is>
          <t>1. Запусти успешный анализ одного тестового звонка.
2. Безопасно вызови сетевую ошибку Gemini на staging и повтори анализ другого звонка.
3. В журнале выполни поиск по контрольной части ключа.
4. Проверь адреса запросов `generateContent` в журнале и сетевой диагностике.</t>
        </is>
      </c>
      <c r="F25" s="16" t="inlineStr">
        <is>
          <t>Critical</t>
        </is>
      </c>
      <c r="G25" s="16" t="inlineStr">
        <is>
          <t>Негативный</t>
        </is>
      </c>
      <c r="H25" s="16" t="inlineStr">
        <is>
          <t>API</t>
        </is>
      </c>
      <c r="I25" s="14" t="inlineStr">
        <is>
          <t>Поиск не находит ключ или его часть. В URL нет параметра `?key=`; секрет используется только в заголовке `x-goog-api-key`, который не печатается.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</sheetData>
  <autoFilter ref="A1:L25"/>
  <conditionalFormatting sqref="K2:K5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5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5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5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109.6" customHeight="1">
      <c r="A2" s="16" t="inlineStr">
        <is>
          <t>TC-166</t>
        </is>
      </c>
      <c r="B2" s="14" t="inlineStr">
        <is>
          <t>Супер-админ подключает тестовый аккаунт AmoCRM к РОП</t>
        </is>
      </c>
      <c r="C2" s="14" t="inlineStr">
        <is>
          <t>Проверяем создание интеграции и немедленную загрузку воронок. Все реквизиты берутся только из .env и никогда не копируются в Excel.</t>
        </is>
      </c>
      <c r="D2" s="14" t="inlineStr">
        <is>
          <t>Есть отдельный тестовый РОП без подключения AmoCRM и тестовый аккаунт AmoCRM. Domain, Client ID, Client secret, Redirect URI, Access token и Lead source лежат в .env.</t>
        </is>
      </c>
      <c r="E2" s="14" t="inlineStr">
        <is>
          <t>1. Войди под супер-админом и открой список «РОПы».
2. В строке тестового РОП нажми «Подключить» в колонке AmoCRM.
3. Заполни поля Domain, Client ID, Client secret, Redirect URI, Access token и Lead source данными из .env.
4. Оставь переключатель «Активен» включённым и нажми «Подключить».
5. Войди под этим РОП и открой «Правила».</t>
        </is>
      </c>
      <c r="F2" s="16" t="inlineStr">
        <is>
          <t>Critical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Показано «AmoCRM подключён». В таблице РОП виден домен, а в «Правилах» загружается список воронок тестового аккаунта без повторного ввода токенов.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56.8" customHeight="1">
      <c r="A3" s="16" t="inlineStr">
        <is>
          <t>TC-167</t>
        </is>
      </c>
      <c r="B3" s="14" t="inlineStr">
        <is>
          <t>Пустые обязательные поля подключения не отправляются</t>
        </is>
      </c>
      <c r="C3" s="14" t="inlineStr">
        <is>
          <t>Форма должна подсказать, какие реквизиты отсутствуют, и не создавать неполную конфигурацию.</t>
        </is>
      </c>
      <c r="D3" s="14" t="inlineStr">
        <is>
          <t>Есть тестовый РОП без подключения AmoCRM. Открыто окно «Подключение AmoCRM».</t>
        </is>
      </c>
      <c r="E3" s="14" t="inlineStr">
        <is>
          <t>1. Оставь все поля пустыми.
2. Попытайся нажать «Подключить».
3. Поочерёдно заполняй все поля, кроме одного обязательного, и снова проверяй кнопку.</t>
        </is>
      </c>
      <c r="F3" s="16" t="inlineStr">
        <is>
          <t>High</t>
        </is>
      </c>
      <c r="G3" s="16" t="inlineStr">
        <is>
          <t>Негативный</t>
        </is>
      </c>
      <c r="H3" s="16" t="inlineStr">
        <is>
          <t>UI</t>
        </is>
      </c>
      <c r="I3" s="14" t="inlineStr">
        <is>
          <t>У пустых полей показаны подсказки «… обязателен», кнопка недоступна или форма не отправляется. В колонке AmoCRM по-прежнему «Не подключено».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96.39999999999999" customHeight="1">
      <c r="A4" s="16" t="inlineStr">
        <is>
          <t>TC-168</t>
        </is>
      </c>
      <c r="B4" s="14" t="inlineStr">
        <is>
          <t>Неверный домен или токен не создаёт рабочее подключение</t>
        </is>
      </c>
      <c r="C4" s="14" t="inlineStr">
        <is>
          <t>Система не должна сообщать об успехе, если AmoCRM отклонила реквизиты.</t>
        </is>
      </c>
      <c r="D4" s="14" t="inlineStr">
        <is>
          <t>Есть тестовый РОП без конфигурации. Подготовлены заведомо неверные Domain и Access token.</t>
        </is>
      </c>
      <c r="E4" s="14" t="inlineStr">
        <is>
          <t>1. Открой окно подключения AmoCRM.
2. Сначала введи неверный домен, остальные обязательные поля заполни тестовыми данными.
3. Нажми «Подключить» и запиши ошибку.
4. Повтори с правильным доменом, но неверным Access token.
5. Открой «Правила» под РОП.</t>
        </is>
      </c>
      <c r="F4" s="16" t="inlineStr">
        <is>
          <t>Critical</t>
        </is>
      </c>
      <c r="G4" s="16" t="inlineStr">
        <is>
          <t>Негативный</t>
        </is>
      </c>
      <c r="H4" s="16" t="inlineStr">
        <is>
          <t>UI</t>
        </is>
      </c>
      <c r="I4" s="14" t="inlineStr">
        <is>
          <t>В обоих случаях показана «Ошибка при подключении AmoCRM», воронки не загружаются. Интерфейс не показывает ложное «Подключено».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96.39999999999999" customHeight="1">
      <c r="A5" s="16" t="inlineStr">
        <is>
          <t>TC-169</t>
        </is>
      </c>
      <c r="B5" s="14" t="inlineStr">
        <is>
          <t>Повторное подключение не создаёт две конфигурации</t>
        </is>
      </c>
      <c r="C5" s="14" t="inlineStr">
        <is>
          <t>Для одного РОП должна существовать одна конфигурация AmoCRM. После подключения интерфейс показывает её сведения, а не новую пустую форму.</t>
        </is>
      </c>
      <c r="D5" s="14" t="inlineStr">
        <is>
          <t>У тестового РОП уже есть рабочее подключение AmoCRM.</t>
        </is>
      </c>
      <c r="E5" s="14" t="inlineStr">
        <is>
          <t>1. Под супер-админом снова нажми подключение AmoCRM у этого РОП.
2. Проверь содержимое окна.
3. Попробуй открыть это окно повторно после обновления страницы.
4. Через тестовый API запроси список конфигураций данного РОП.</t>
        </is>
      </c>
      <c r="F5" s="16" t="inlineStr">
        <is>
          <t>High</t>
        </is>
      </c>
      <c r="G5" s="16" t="inlineStr">
        <is>
          <t>Негативный</t>
        </is>
      </c>
      <c r="H5" s="16" t="inlineStr">
        <is>
          <t>UI+API</t>
        </is>
      </c>
      <c r="I5" s="14" t="inlineStr">
        <is>
          <t>Показано «AmoCRM уже подключён» и сведения одной конфигурации. Второй формы создания нет, API возвращает ровно одну конфигурацию РОП.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122.8" customHeight="1">
      <c r="A6" s="16" t="inlineStr">
        <is>
          <t>TC-170</t>
        </is>
      </c>
      <c r="B6" s="14" t="inlineStr">
        <is>
          <t>Обновление несекретного поля не стирает токены</t>
        </is>
      </c>
      <c r="C6" s="14" t="inlineStr">
        <is>
          <t>Сервер специально не возвращает секреты. При изменении домена или активности пустые секретные поля не должны затереть сохранённые Client secret и Access token.</t>
        </is>
      </c>
      <c r="D6" s="14" t="inlineStr">
        <is>
          <t>Есть рабочая конфигурация и токен супер-админа из тестового входа. Известны {STAGE_API_URL} и ID конфигурации; секреты остаются только в .env.</t>
        </is>
      </c>
      <c r="E6" s="14" t="inlineStr">
        <is>
          <t>1. В Postman создай PATCH-запрос на {STAGE_API_URL}/v1/amocrm/configs/{CONFIG_ID}.
2. Добавь заголовок Authorization: Bearer {ТОКЕН_СУПЕР_АДМИНА}.
3. В Body → raw → JSON укажи только `{"is_active": false}` и отправь запрос.
4. Повтори запрос с `{"is_active": true}`.
5. Под РОП открой «Правила» и проверь загрузку воронок.</t>
        </is>
      </c>
      <c r="F6" s="16" t="inlineStr">
        <is>
          <t>Critical</t>
        </is>
      </c>
      <c r="G6" s="16" t="inlineStr">
        <is>
          <t>Негативный</t>
        </is>
      </c>
      <c r="H6" s="16" t="inlineStr">
        <is>
          <t>UI+API</t>
        </is>
      </c>
      <c r="I6" s="14" t="inlineStr">
        <is>
          <t>Оба обновления успешны. После повторного включения прежний токен продолжает работать, воронки загружаются; секреты не возвращаются в ответе API.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122.8" customHeight="1">
      <c r="A7" s="16" t="inlineStr">
        <is>
          <t>TC-171</t>
        </is>
      </c>
      <c r="B7" s="14" t="inlineStr">
        <is>
          <t>Удаление тестовой конфигурации останавливает интеграцию</t>
        </is>
      </c>
      <c r="C7" s="14" t="inlineStr">
        <is>
          <t>Проверяем управляемое отключение: удаляется только связь тестового РОП, данные в самой AmoCRM и подключения других РОП не затрагиваются.</t>
        </is>
      </c>
      <c r="D7" s="14" t="inlineStr">
        <is>
          <t>Создан отдельный тестовый РОП, его подключение можно удалить и затем восстановить. Записано число лидов в тестовой AmoCRM.</t>
        </is>
      </c>
      <c r="E7" s="14" t="inlineStr">
        <is>
          <t>1. Под супер-админом открой подключение AmoCRM тестового РОП.
2. Нажми «Удалить» и дождись сообщения «Конфигурация AmoCRM удалена».
3. Под РОП открой «Правила» и «Обзвон» его оператора.
4. Проверь тестовый аккаунт AmoCRM и подключение другого РОП.
5. После проверки восстанови конфигурацию данными из .env.</t>
        </is>
      </c>
      <c r="F7" s="16" t="inlineStr">
        <is>
          <t>High</t>
        </is>
      </c>
      <c r="G7" s="16" t="inlineStr">
        <is>
          <t>Позитивный</t>
        </is>
      </c>
      <c r="H7" s="16" t="inlineStr">
        <is>
          <t>UI</t>
        </is>
      </c>
      <c r="I7" s="14" t="inlineStr">
        <is>
          <t>Тестовый РОП больше не синхронизируется и видит понятное отсутствие подключения. Лиды в AmoCRM не удалены, другой РОП работает как раньше.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109.6" customHeight="1">
      <c r="A8" s="16" t="inlineStr">
        <is>
          <t>TC-172</t>
        </is>
      </c>
      <c r="B8" s="14" t="inlineStr">
        <is>
          <t>Синхронизация загружает воронки, статусы и группы полей</t>
        </is>
      </c>
      <c r="C8" s="14" t="inlineStr">
        <is>
          <t>После подключения локальный каталог должен повторять структуру тестовой AmoCRM: активные воронки, статусы, группы полей и варианты списков.</t>
        </is>
      </c>
      <c r="D8" s="14" t="inlineStr">
        <is>
          <t>В тестовой AmoCRM заранее записан эталон: названия двух воронок, их статусы, группа «Operator AI», поля и варианты одного поля-списка.</t>
        </is>
      </c>
      <c r="E8" s="14" t="inlineStr">
        <is>
          <t>1. Подключи или повторно активируй AmoCRM тестового РОП.
2. Под РОП открой «Правила».
3. Раскрой поле «Воронка» и сравни список с эталоном.
4. Поочерёдно выбери воронки и сравни раздел «Статусы лида».
5. В разделе «Поля формы» выбери группу и проверь поля и варианты списка.</t>
        </is>
      </c>
      <c r="F8" s="16" t="inlineStr">
        <is>
          <t>Critical</t>
        </is>
      </c>
      <c r="G8" s="16" t="inlineStr">
        <is>
          <t>Позитивный</t>
        </is>
      </c>
      <c r="H8" s="16" t="inlineStr">
        <is>
          <t>UI</t>
        </is>
      </c>
      <c r="I8" s="14" t="inlineStr">
        <is>
          <t>Все активные элементы из AmoCRM присутствуют один раз, названия и варианты совпадают. Чужие аккаунты, архивные воронки и дубликаты не показаны.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83.19999999999999" customHeight="1">
      <c r="A9" s="16" t="inlineStr">
        <is>
          <t>TC-173</t>
        </is>
      </c>
      <c r="B9" s="14" t="inlineStr">
        <is>
          <t>Выбор воронки запускает загрузку её лидов и формы</t>
        </is>
      </c>
      <c r="C9" s="14" t="inlineStr">
        <is>
          <t>РОП не должен отдельно искать кнопку синхронизации. Выбор воронки на экране «Правила» сам запускает загрузку лидов и группы полей.</t>
        </is>
      </c>
      <c r="D9" s="14" t="inlineStr">
        <is>
          <t>Подключение активно. В новой тестовой воронке есть один лид и группа «Operator AI» с полем, которых ещё нет в Operator AI.</t>
        </is>
      </c>
      <c r="E9" s="14" t="inlineStr">
        <is>
          <t>1. Под РОП открой «Правила».
2. В поле «Воронка» выбери новую тестовую воронку.
3. Дождись отметки «Воронка выбрана».
4. Подожди до 2 минут и обнови раздел один раз.
5. Проверь статусы, поле формы и наличие лида в локальных данных/очереди назначенного оператора.</t>
        </is>
      </c>
      <c r="F9" s="16" t="inlineStr">
        <is>
          <t>Critical</t>
        </is>
      </c>
      <c r="G9" s="16" t="inlineStr">
        <is>
          <t>Позитивный</t>
        </is>
      </c>
      <c r="H9" s="16" t="inlineStr">
        <is>
          <t>UI+API</t>
        </is>
      </c>
      <c r="I9" s="14" t="inlineStr">
        <is>
          <t>Без дополнительной команды появляются статусы, поле и тестовый лид выбранной воронки. Лид не создаётся повторно.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83.19999999999999" customHeight="1">
      <c r="A10" s="16" t="inlineStr">
        <is>
          <t>TC-174</t>
        </is>
      </c>
      <c r="B10" s="14" t="inlineStr">
        <is>
          <t>Назначение воронки оператору синхронизирует её без выбора основной</t>
        </is>
      </c>
      <c r="C10" s="14" t="inlineStr">
        <is>
          <t>При мульти-воронке назначенная оператору воронка должна наполняться лидами, даже если в «Правилах» основной выбрана другая.</t>
        </is>
      </c>
      <c r="D10" s="14" t="inlineStr">
        <is>
          <t>У РОП в «Правилах» выбрана воронка A. В воронке B есть новый тестовый лид, которого ещё нет локально.</t>
        </is>
      </c>
      <c r="E10" s="14" t="inlineStr">
        <is>
          <t>1. Под РОП открой «Настройка очереди».
2. Назначь оператору воронку B, нажав её плашку.
3. Дождись сообщения «Сохранено».
4. Подожди до 2 минут.
5. Под оператором открой «Обзвон» и проверь тестовый лид B.</t>
        </is>
      </c>
      <c r="F10" s="16" t="inlineStr">
        <is>
          <t>Critical</t>
        </is>
      </c>
      <c r="G10" s="16" t="inlineStr">
        <is>
          <t>Позитивный</t>
        </is>
      </c>
      <c r="H10" s="16" t="inlineStr">
        <is>
          <t>UI</t>
        </is>
      </c>
      <c r="I10" s="14" t="inlineStr">
        <is>
          <t>Лид воронки B загружен и участвует в очереди оператора, хотя основной в «Правилах» осталась воронка A.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83.19999999999999" customHeight="1">
      <c r="A11" s="16" t="inlineStr">
        <is>
          <t>TC-175</t>
        </is>
      </c>
      <c r="B11" s="14" t="inlineStr">
        <is>
          <t>Группа с словом Operator автоматически становится формой</t>
        </is>
      </c>
      <c r="C11" s="14" t="inlineStr">
        <is>
          <t>Автосборка ищет в AmoCRM группу полей, в названии которой есть слово `operator` без учёта регистра.</t>
        </is>
      </c>
      <c r="D11" s="14" t="inlineStr">
        <is>
          <t>В тестовой AmoCRM создана группа `QA oPeRaToR fields` с двумя полями. У РОП нет вручную привязанной формы к другой группе.</t>
        </is>
      </c>
      <c r="E11" s="14" t="inlineStr">
        <is>
          <t>1. Запусти синхронизацию выбором или назначением тестовой воронки.
2. Подожди до 2 минут и открой «Правила».
3. В разделе «Поля формы» раскрой список «Форма».
4. Выбери найденную группу и проверь два поля.
5. Открой инструкцию перед звонком тестового лида.</t>
        </is>
      </c>
      <c r="F11" s="16" t="inlineStr">
        <is>
          <t>High</t>
        </is>
      </c>
      <c r="G11" s="16" t="inlineStr">
        <is>
          <t>Граничный</t>
        </is>
      </c>
      <c r="H11" s="16" t="inlineStr">
        <is>
          <t>UI</t>
        </is>
      </c>
      <c r="I11" s="14" t="inlineStr">
        <is>
          <t>Группа найдена несмотря на регистр, оба поля вошли в форму и показаны перед звонком. РОП не создаёт их вручную.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70" customHeight="1">
      <c r="A12" s="16" t="inlineStr">
        <is>
          <t>TC-176</t>
        </is>
      </c>
      <c r="B12" s="14" t="inlineStr">
        <is>
          <t>Отсутствие группы Operator обрабатывается безопасно</t>
        </is>
      </c>
      <c r="C12" s="14" t="inlineStr">
        <is>
          <t>Если подходящей группы нет, синхронизация не должна выбирать случайную группу или ломать статусы и лиды.</t>
        </is>
      </c>
      <c r="D12" s="14" t="inlineStr">
        <is>
          <t>В тестовой воронке есть лиды, статусы и несколько групп полей, но ни одно название не содержит `operator`. Ручной формы у РОП нет.</t>
        </is>
      </c>
      <c r="E12" s="14" t="inlineStr">
        <is>
          <t>1. Запусти синхронизацию воронки.
2. Открой «Правила».
3. Проверь статусы и список форм.
4. Под оператором открой инструкцию тестового лида.</t>
        </is>
      </c>
      <c r="F12" s="16" t="inlineStr">
        <is>
          <t>High</t>
        </is>
      </c>
      <c r="G12" s="16" t="inlineStr">
        <is>
          <t>Негативный</t>
        </is>
      </c>
      <c r="H12" s="16" t="inlineStr">
        <is>
          <t>UI</t>
        </is>
      </c>
      <c r="I12" s="14" t="inlineStr">
        <is>
          <t>Лиды и статусы загружены, случайная форма не создана. Инструкция открывается без технической ошибки и не показывает поля из чужой группы.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70" customHeight="1">
      <c r="A13" s="16" t="inlineStr">
        <is>
          <t>TC-177</t>
        </is>
      </c>
      <c r="B13" s="14" t="inlineStr">
        <is>
          <t>Из копий группы Operator выбирается самая полная</t>
        </is>
      </c>
      <c r="C13" s="14" t="inlineStr">
        <is>
          <t>Одна группа AmoCRM может храниться локально в нескольких воронках. Автосборка должна выбрать копию с максимальным набором полей.</t>
        </is>
      </c>
      <c r="D13" s="14" t="inlineStr">
        <is>
          <t>В зеркале тестового аккаунта одна группа `Operator AI` представлена для двух воронок: в первой 2 поля, во второй 5 полей.</t>
        </is>
      </c>
      <c r="E13" s="14" t="inlineStr">
        <is>
          <t>1. Запусти полную синхронизацию тестового РОП.
2. Открой «Правила» → «Поля формы».
3. Выбери форму `Operator AI`.
4. Посчитай и сверь названия полей.</t>
        </is>
      </c>
      <c r="F13" s="16" t="inlineStr">
        <is>
          <t>High</t>
        </is>
      </c>
      <c r="G13" s="16" t="inlineStr">
        <is>
          <t>Граничный</t>
        </is>
      </c>
      <c r="H13" s="16" t="inlineStr">
        <is>
          <t>UI+API</t>
        </is>
      </c>
      <c r="I13" s="14" t="inlineStr">
        <is>
          <t>Форма содержит все 5 полей самой полной копии, без повторов. Три поля не теряются из-за того, какая копия пришла первой.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96.39999999999999" customHeight="1">
      <c r="A14" s="16" t="inlineStr">
        <is>
          <t>TC-178</t>
        </is>
      </c>
      <c r="B14" s="14" t="inlineStr">
        <is>
          <t>Добавление, переименование и удаление поля отражается после синхронизации</t>
        </is>
      </c>
      <c r="C14" s="14" t="inlineStr">
        <is>
          <t>Локальная форма должна следовать актуальной группе AmoCRM и не оставлять устаревшие поля, которые AI потом попытался бы отправить.</t>
        </is>
      </c>
      <c r="D14" s="14" t="inlineStr">
        <is>
          <t>В группе `Operator AI` есть тестовое поле. Можно безопасно менять эту тестовую группу.</t>
        </is>
      </c>
      <c r="E14" s="14" t="inlineStr">
        <is>
          <t>1. В AmoCRM добавь новое тестовое поле и переименуй существующее.
2. Дождись синхронизации и проверь оба изменения в «Правилах».
3. Удали добавленное тестовое поле в AmoCRM.
4. Дождись следующей синхронизации и снова открой форму.</t>
        </is>
      </c>
      <c r="F14" s="16" t="inlineStr">
        <is>
          <t>High</t>
        </is>
      </c>
      <c r="G14" s="16" t="inlineStr">
        <is>
          <t>Позитивный</t>
        </is>
      </c>
      <c r="H14" s="16" t="inlineStr">
        <is>
          <t>UI</t>
        </is>
      </c>
      <c r="I14" s="14" t="inlineStr">
        <is>
          <t>Новое и переименованное поля появляются, удалённое исчезает. Нет старого и нового имени одновременно; остальные поля и подсказки сохранены.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83.19999999999999" customHeight="1">
      <c r="A15" s="16" t="inlineStr">
        <is>
          <t>TC-179</t>
        </is>
      </c>
      <c r="B15" s="14" t="inlineStr">
        <is>
          <t>Одинаковые названия статусов разных воронок не склеиваются</t>
        </is>
      </c>
      <c r="C15" s="14" t="inlineStr">
        <is>
          <t>В мульти-воронке один и тот же текст статуса может иметь разные AmoCRM ID. Обе записи должны сохраниться и применяться только внутри своей воронки.</t>
        </is>
      </c>
      <c r="D15" s="14" t="inlineStr">
        <is>
          <t>В воронках A и B есть статус с одинаковым названием `Bugun keladi`, но разными ID.</t>
        </is>
      </c>
      <c r="E15" s="14" t="inlineStr">
        <is>
          <t>1. Запусти синхронизацию обеих воронок.
2. В «Правилах» выбери A и запиши статус.
3. Выбери B и запиши статус.
4. Проведи по одному ручному подтверждению лида каждой воронки этим статусом.
5. Проверь сделки в AmoCRM.</t>
        </is>
      </c>
      <c r="F15" s="16" t="inlineStr">
        <is>
          <t>Critical</t>
        </is>
      </c>
      <c r="G15" s="16" t="inlineStr">
        <is>
          <t>Граничный</t>
        </is>
      </c>
      <c r="H15" s="16" t="inlineStr">
        <is>
          <t>UI</t>
        </is>
      </c>
      <c r="I15" s="14" t="inlineStr">
        <is>
          <t>В каталоге существуют две связанные записи. Каждый лид получает статус своей воронки, сделка не переезжает в другую воронку и AmoCRM не отвечает ошибкой 400.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83.19999999999999" customHeight="1">
      <c r="A16" s="16" t="inlineStr">
        <is>
          <t>TC-180</t>
        </is>
      </c>
      <c r="B16" s="14" t="inlineStr">
        <is>
          <t>Новый лид появляется после фоновой синхронизации</t>
        </is>
      </c>
      <c r="C16" s="14" t="inlineStr">
        <is>
          <t>Раз в две минуты система загружает лиды всех воронок, назначенных операторам.</t>
        </is>
      </c>
      <c r="D16" s="14" t="inlineStr">
        <is>
          <t>Оператору назначена тестовая воронка. Синхронизация и подключение активны.</t>
        </is>
      </c>
      <c r="E16" s="14" t="inlineStr">
        <is>
          <t>1. Запиши текущий счётчик очереди.
2. В AmoCRM создай уникальный лид в доступном статусе этой воронки.
3. Не нажимай ручных кнопок синхронизации.
4. Подожди до 2 минут 30 секунд.
5. Проверь список/очередь оператора и ID сделки.</t>
        </is>
      </c>
      <c r="F16" s="16" t="inlineStr">
        <is>
          <t>Critical</t>
        </is>
      </c>
      <c r="G16" s="16" t="inlineStr">
        <is>
          <t>Позитивный</t>
        </is>
      </c>
      <c r="H16" s="16" t="inlineStr">
        <is>
          <t>UI</t>
        </is>
      </c>
      <c r="I16" s="14" t="inlineStr">
        <is>
          <t>Лид появляется один раз, сохраняет исходный Amo ID и увеличивает очередь, если уже доступен по её правилам.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70" customHeight="1">
      <c r="A17" s="16" t="inlineStr">
        <is>
          <t>TC-181</t>
        </is>
      </c>
      <c r="B17" s="14" t="inlineStr">
        <is>
          <t>Изменения сделки из AmoCRM обновляют локальное зеркало</t>
        </is>
      </c>
      <c r="C17" s="14" t="inlineStr">
        <is>
          <t>Имя, цена, статус и основной телефон должны приехать в Operator AI без создания второй локальной строки.</t>
        </is>
      </c>
      <c r="D17" s="14" t="inlineStr">
        <is>
          <t>Тестовый лид уже синхронизирован. Записаны его локальный ID и Amo ID.</t>
        </is>
      </c>
      <c r="E17" s="14" t="inlineStr">
        <is>
          <t>1. В AmoCRM измени имя, цену и статус тестового лида.
2. У основного контакта замени телефон на другой тестовый номер.
3. Дождись вебхука или следующего фонового прохода.
4. Открой строку и карточку сделки в Operator AI.</t>
        </is>
      </c>
      <c r="F17" s="16" t="inlineStr">
        <is>
          <t>Critical</t>
        </is>
      </c>
      <c r="G17" s="16" t="inlineStr">
        <is>
          <t>Позитивный</t>
        </is>
      </c>
      <c r="H17" s="16" t="inlineStr">
        <is>
          <t>UI</t>
        </is>
      </c>
      <c r="I17" s="14" t="inlineStr">
        <is>
          <t>Все четыре значения обновлены в прежней строке с теми же ID. Старой строки и дубликата сделки нет.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70" customHeight="1">
      <c r="A18" s="16" t="inlineStr">
        <is>
          <t>TC-182</t>
        </is>
      </c>
      <c r="B18" s="14" t="inlineStr">
        <is>
          <t>Новый или переименованный статус становится известен очереди</t>
        </is>
      </c>
      <c r="C18" s="14" t="inlineStr">
        <is>
          <t>Фоновый проход обновляет каталог статусов до загрузки лидов. Иначе лид с новым статусом получил бы пустой класс и пропал из очереди.</t>
        </is>
      </c>
      <c r="D18" s="14" t="inlineStr">
        <is>
          <t>В тестовой воронке можно создать либо переименовать статус так, чтобы он содержал известный класс, например `Chala gaplashdi QA`.</t>
        </is>
      </c>
      <c r="E18" s="14" t="inlineStr">
        <is>
          <t>1. Создай или переименуй статус в AmoCRM.
2. Переведи тестовый лид в этот статус.
3. Подожди один полный проход синхронизации.
4. Открой «Правила» и затем очередь назначенного оператора.</t>
        </is>
      </c>
      <c r="F18" s="16" t="inlineStr">
        <is>
          <t>Critical</t>
        </is>
      </c>
      <c r="G18" s="16" t="inlineStr">
        <is>
          <t>Позитивный</t>
        </is>
      </c>
      <c r="H18" s="16" t="inlineStr">
        <is>
          <t>UI</t>
        </is>
      </c>
      <c r="I18" s="14" t="inlineStr">
        <is>
          <t>Статус показан как синхронизированный, у лида нет пустого статуса. После наступления времени лид участвует в очереди по классу `Chala`.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56.8" customHeight="1">
      <c r="A19" s="16" t="inlineStr">
        <is>
          <t>TC-183</t>
        </is>
      </c>
      <c r="B19" s="14" t="inlineStr">
        <is>
          <t>Удалённый или архивный лид исключается только после успешной сверки</t>
        </is>
      </c>
      <c r="C19" s="14" t="inlineStr">
        <is>
          <t>Лид, удалённый в AmoCRM, должен исчезнуть из рабочей очереди. Однако массовое удаление разрешено только после полного успешного получения списка.</t>
        </is>
      </c>
      <c r="D19" s="14" t="inlineStr">
        <is>
          <t>В тестовой воронке два синхронизированных лида. Один можно удалить/архивировать, второй остаётся активным.</t>
        </is>
      </c>
      <c r="E19" s="14" t="inlineStr">
        <is>
          <t>1. Удали или архивируй первый лид в AmoCRM.
2. Дождись успешного фонового прохода.
3. Проверь очередь и обычный список Operator AI.
4. Проверь второй активный лид.</t>
        </is>
      </c>
      <c r="F19" s="16" t="inlineStr">
        <is>
          <t>Critical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Удалённый лид исключён из рабочего списка и очереди, активный остался. Ни одна другая сделка не помечена удалённой.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83.19999999999999" customHeight="1">
      <c r="A20" s="16" t="inlineStr">
        <is>
          <t>TC-184</t>
        </is>
      </c>
      <c r="B20" s="14" t="inlineStr">
        <is>
          <t>Ошибка посреди синхронизации не удаляет оставшиеся лиды</t>
        </is>
      </c>
      <c r="C20" s="14" t="inlineStr">
        <is>
          <t>Регрессия R-13: если одна страница или один лид AmoCRM вернул ошибку, неполный ответ нельзя принимать за полный список и массово удалять данные.</t>
        </is>
      </c>
      <c r="D20" s="14" t="inlineStr">
        <is>
          <t>В тестовой воронке больше одной страницы лидов либо используется безопасный стаб AmoCRM. Можно вызвать ошибку на второй странице/конкретном лиде.</t>
        </is>
      </c>
      <c r="E20" s="14" t="inlineStr">
        <is>
          <t>1. Запиши число и несколько ID локальных лидов.
2. Запусти синхронизацию с подготовленной ошибкой в середине прохода.
3. Дождись завершения с ошибкой.
4. Открой список и очередь Operator AI.
5. Проверь журнал staging.</t>
        </is>
      </c>
      <c r="F20" s="16" t="inlineStr">
        <is>
          <t>Critical</t>
        </is>
      </c>
      <c r="G20" s="16" t="inlineStr">
        <is>
          <t>Негативный</t>
        </is>
      </c>
      <c r="H20" s="16" t="inlineStr">
        <is>
          <t>API</t>
        </is>
      </c>
      <c r="I20" s="14" t="inlineStr">
        <is>
          <t>Ранее сохранённые лиды не помечены удалёнными. Ошибка записана в журнал с воронкой/РОП; следующий проход может повторить синхронизацию.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70" customHeight="1">
      <c r="A21" s="16" t="inlineStr">
        <is>
          <t>TC-185</t>
        </is>
      </c>
      <c r="B21" s="14" t="inlineStr">
        <is>
          <t>Восстановленный в AmoCRM лид снова становится активным</t>
        </is>
      </c>
      <c r="C21" s="14" t="inlineStr">
        <is>
          <t>Если ранее удалённая сделка снова присутствует в полном списке AmoCRM, локальная пометка удаления должна сниматься.</t>
        </is>
      </c>
      <c r="D21" s="14" t="inlineStr">
        <is>
          <t>Тестовый лид ранее был помечен удалённым локально. Его можно восстановить или воссоздать в тестовой AmoCRM с контролируемым ID/данными.</t>
        </is>
      </c>
      <c r="E21" s="14" t="inlineStr">
        <is>
          <t>1. Восстанови тестовый лид в AmoCRM.
2. Дождись полного успешного прохода.
3. Открой список Operator AI.
4. Если статус доступен, проверь очередь оператора.</t>
        </is>
      </c>
      <c r="F21" s="16" t="inlineStr">
        <is>
          <t>High</t>
        </is>
      </c>
      <c r="G21" s="16" t="inlineStr">
        <is>
          <t>Позитивный</t>
        </is>
      </c>
      <c r="H21" s="16" t="inlineStr">
        <is>
          <t>UI</t>
        </is>
      </c>
      <c r="I21" s="14" t="inlineStr">
        <is>
          <t>Лид снова показан как активный и при подходящем статусе возвращается в очередь. Существует одна локальная строка, история попыток не размножена.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83.19999999999999" customHeight="1">
      <c r="A22" s="16" t="inlineStr">
        <is>
          <t>TC-186</t>
        </is>
      </c>
      <c r="B22" s="14" t="inlineStr">
        <is>
          <t>Вебхук быстро приносит изменение конкретного лида</t>
        </is>
      </c>
      <c r="C22" s="14" t="inlineStr">
        <is>
          <t>При настроенном публичном адресе изменение из AmoCRM должно приезжать почти сразу, не дожидаясь двухминутного фонового прохода.</t>
        </is>
      </c>
      <c r="D22" s="14" t="inlineStr">
        <is>
          <t>`AMOCRM_WEBHOOK_URL` настроен на staging, подписка активна. Тестовый лид синхронизирован.</t>
        </is>
      </c>
      <c r="E22" s="14" t="inlineStr">
        <is>
          <t>1. Открой строку лида в Operator AI и запиши текущее время.
2. В AmoCRM измени его имя или статус.
3. Не обновляй страницу вручную.
4. Засеки время до изменения строки.
5. Проверь журнал получения вебхука.</t>
        </is>
      </c>
      <c r="F22" s="16" t="inlineStr">
        <is>
          <t>High</t>
        </is>
      </c>
      <c r="G22" s="16" t="inlineStr">
        <is>
          <t>Позитивный</t>
        </is>
      </c>
      <c r="H22" s="16" t="inlineStr">
        <is>
          <t>UI</t>
        </is>
      </c>
      <c r="I22" s="14" t="inlineStr">
        <is>
          <t>Изменение появляется до следующего двухминутного прохода, в реальном времени или за несколько секунд. Обновлён только нужный лид.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56.8" customHeight="1">
      <c r="A23" s="16" t="inlineStr">
        <is>
          <t>TC-187</t>
        </is>
      </c>
      <c r="B23" s="14" t="inlineStr">
        <is>
          <t>Повторный вебхук не создаёт дубликат сделки</t>
        </is>
      </c>
      <c r="C23" s="14" t="inlineStr">
        <is>
          <t>AmoCRM может доставить одно событие несколько раз. Повтор должен обновить ту же строку по Amo ID.</t>
        </is>
      </c>
      <c r="D23" s="14" t="inlineStr">
        <is>
          <t>Есть сохранённый тестовый payload вебхука обновления одного лида и безопасный способ повторной доставки на staging.</t>
        </is>
      </c>
      <c r="E23" s="14" t="inlineStr">
        <is>
          <t>1. Запиши локальный ID и число строк этого Amo ID.
2. Доставь один и тот же вебхук дважды.
3. Дождись обработки обоих запросов.
4. Обнови список Operator AI и проверь историю лида.</t>
        </is>
      </c>
      <c r="F23" s="16" t="inlineStr">
        <is>
          <t>Critical</t>
        </is>
      </c>
      <c r="G23" s="16" t="inlineStr">
        <is>
          <t>Негативный</t>
        </is>
      </c>
      <c r="H23" s="16" t="inlineStr">
        <is>
          <t>UI+API</t>
        </is>
      </c>
      <c r="I23" s="14" t="inlineStr">
        <is>
          <t>Оба запроса обработаны безопасно. В системе одна строка с прежним локальным ID; дубликата лида и повторного изменения статуса нет.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70" customHeight="1">
      <c r="A24" s="16" t="inlineStr">
        <is>
          <t>TC-188</t>
        </is>
      </c>
      <c r="B24" s="14" t="inlineStr">
        <is>
          <t>Без вебхука изменения приезжают фоновым опросом</t>
        </is>
      </c>
      <c r="C24" s="14" t="inlineStr">
        <is>
          <t>Вебхук — ускорение, но не единственный путь. При временно недоступном публичном адресе двухминутный планировщик должен восстановить актуальность.</t>
        </is>
      </c>
      <c r="D24" s="14" t="inlineStr">
        <is>
          <t>На staging безопасно отключена доставка AmoCRM-вебхука для тестового РОП, фоновая синхронизация включена.</t>
        </is>
      </c>
      <c r="E24" s="14" t="inlineStr">
        <is>
          <t>1. В AmoCRM измени тестовый лид.
2. Убедись, что вебхук не был доставлен.
3. Подожди до 2 минут 30 секунд.
4. Открой или обнови список Operator AI.
5. Верни вебхук в рабочее состояние.</t>
        </is>
      </c>
      <c r="F24" s="16" t="inlineStr">
        <is>
          <t>Critical</t>
        </is>
      </c>
      <c r="G24" s="16" t="inlineStr">
        <is>
          <t>Негативный</t>
        </is>
      </c>
      <c r="H24" s="16" t="inlineStr">
        <is>
          <t>UI</t>
        </is>
      </c>
      <c r="I24" s="14" t="inlineStr">
        <is>
          <t>Изменение всё равно появляется после фонового прохода и не дублируется при последующем восстановлении вебхука.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83.19999999999999" customHeight="1">
      <c r="A25" s="16" t="inlineStr">
        <is>
          <t>TC-189</t>
        </is>
      </c>
      <c r="B25" s="14" t="inlineStr">
        <is>
          <t>AI-подтверждение обновляет сделку, а не создаёт новую</t>
        </is>
      </c>
      <c r="C25" s="14" t="inlineStr">
        <is>
          <t>Ключевая регрессия: раньше отправка динамической формы создавала параллельную сделку. Теперь используется Amo ID лида, захваченного очередью.</t>
        </is>
      </c>
      <c r="D25" s="14" t="inlineStr">
        <is>
          <t>Есть отвеченный звонок с готовым AI-результатом. Записаны локальный ID, Amo ID и общее число сделок воронки до подтверждения.</t>
        </is>
      </c>
      <c r="E25" s="14" t="inlineStr">
        <is>
          <t>1. На экране рекомендации проверь статус и поля.
2. Нажми «Подтвердить».
3. Дождись синхронизации.
4. В AmoCRM открой сделку по записанному Amo ID.
5. Пересчитай сделки и поищи название `Dynamic form submission`.</t>
        </is>
      </c>
      <c r="F25" s="16" t="inlineStr">
        <is>
          <t>Critical</t>
        </is>
      </c>
      <c r="G25" s="16" t="inlineStr">
        <is>
          <t>Позитивный</t>
        </is>
      </c>
      <c r="H25" s="16" t="inlineStr">
        <is>
          <t>UI</t>
        </is>
      </c>
      <c r="I25" s="14" t="inlineStr">
        <is>
          <t>Обновлена исходная сделка с тем же Amo ID. Число сделок не выросло, параллельной `Dynamic form submission` нет; статус, поля и примечание записаны в исходную.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  <row r="26" ht="70" customHeight="1">
      <c r="A26" s="16" t="inlineStr">
        <is>
          <t>TC-190</t>
        </is>
      </c>
      <c r="B26" s="14" t="inlineStr">
        <is>
          <t>Ручное подтверждение отправляет поля в существующую сделку</t>
        </is>
      </c>
      <c r="C26" s="14" t="inlineStr">
        <is>
          <t>Для браузерного или неотвеченного звонка без AI система должна передать не только статус, но и введённые оператором значения.</t>
        </is>
      </c>
      <c r="D26" s="14" t="inlineStr">
        <is>
          <t>Открыт ручной итог звонка. Записаны Amo ID сделки и её текущие пользовательские поля.</t>
        </is>
      </c>
      <c r="E26" s="14" t="inlineStr">
        <is>
          <t>1. Выбери допустимый статус и вручную заполни текстовое поле и поле оператора.
2. Нажми «Подтвердить».
3. Открой исходную сделку в AmoCRM.
4. Проверь статус, оба поля и число сделок.</t>
        </is>
      </c>
      <c r="F26" s="16" t="inlineStr">
        <is>
          <t>Critical</t>
        </is>
      </c>
      <c r="G26" s="16" t="inlineStr">
        <is>
          <t>Позитивный</t>
        </is>
      </c>
      <c r="H26" s="16" t="inlineStr">
        <is>
          <t>UI</t>
        </is>
      </c>
      <c r="I26" s="14" t="inlineStr">
        <is>
          <t>Статус и оба значения появились в исходной сделке. Поле оператора содержит реальный вариант списка, новая сделка не создана.</t>
        </is>
      </c>
      <c r="J26" s="14" t="inlineStr"/>
      <c r="K26" s="16" t="inlineStr">
        <is>
          <t>Not Run</t>
        </is>
      </c>
      <c r="L26" s="16" t="inlineStr">
        <is>
          <t>—</t>
        </is>
      </c>
    </row>
    <row r="27" ht="83.19999999999999" customHeight="1">
      <c r="A27" s="16" t="inlineStr">
        <is>
          <t>TC-191</t>
        </is>
      </c>
      <c r="B27" s="14" t="inlineStr">
        <is>
          <t>Дата и список отправляются в формате AmoCRM</t>
        </is>
      </c>
      <c r="C27" s="14" t="inlineStr">
        <is>
          <t>AmoCRM принимает дату как число Unix, а поле-список — по ID реального варианта. Проверяем внешний результат, не техническое представление в интерфейсе.</t>
        </is>
      </c>
      <c r="D27" s="14" t="inlineStr">
        <is>
          <t>Форма содержит поле даты/времени и список филиалов с вариантами AmoCRM.</t>
        </is>
      </c>
      <c r="E27" s="14" t="inlineStr">
        <is>
          <t>1. На подтверждении выбери заметную дату и время по Ташкенту.
2. В списке выбери реальный тестовый филиал.
3. Нажми «Подтвердить».
4. Открой исходную сделку AmoCRM и сравни значения.
5. Проверь, что сделка осталась в своей воронке.</t>
        </is>
      </c>
      <c r="F27" s="16" t="inlineStr">
        <is>
          <t>Critical</t>
        </is>
      </c>
      <c r="G27" s="16" t="inlineStr">
        <is>
          <t>Граничный</t>
        </is>
      </c>
      <c r="H27" s="16" t="inlineStr">
        <is>
          <t>UI</t>
        </is>
      </c>
      <c r="I27" s="14" t="inlineStr">
        <is>
          <t>В AmoCRM показаны выбранные местные дата/время и точный вариант филиала. Нет сдвига на день/часовой пояс, ошибки `NotSupportedChoice` или смены воронки.</t>
        </is>
      </c>
      <c r="J27" s="14" t="inlineStr"/>
      <c r="K27" s="16" t="inlineStr">
        <is>
          <t>Not Run</t>
        </is>
      </c>
      <c r="L27" s="16" t="inlineStr">
        <is>
          <t>—</t>
        </is>
      </c>
    </row>
    <row r="28" ht="70" customHeight="1">
      <c r="A28" s="16" t="inlineStr">
        <is>
          <t>TC-192</t>
        </is>
      </c>
      <c r="B28" s="14" t="inlineStr">
        <is>
          <t>Недоступность AmoCRM при AI-подтверждении не даёт ложный успех</t>
        </is>
      </c>
      <c r="C28" s="14" t="inlineStr">
        <is>
          <t>Критическая проверка: если PATCH сделки не дошёл, Operator AI не должен показывать «Отправлено в AmoCRM» и закрывать сессию как успешную.</t>
        </is>
      </c>
      <c r="D28" s="14" t="inlineStr">
        <is>
          <t>Есть готовый AI-результат. На staging безопасно заблокирован исходящий доступ к тестовой AmoCRM либо используется тестовый отказ PATCH.</t>
        </is>
      </c>
      <c r="E28" s="14" t="inlineStr">
        <is>
          <t>1. Запиши исходный статус/поля сделки и номер попытки.
2. Нажми «Подтвердить».
3. Проверь сообщение Operator AI и состояние формы.
4. Проверь исходную сделку в AmoCRM и номер попытки.
5. Восстанови доступ и повтори подтверждение.</t>
        </is>
      </c>
      <c r="F28" s="16" t="inlineStr">
        <is>
          <t>Critical</t>
        </is>
      </c>
      <c r="G28" s="16" t="inlineStr">
        <is>
          <t>Негативный</t>
        </is>
      </c>
      <c r="H28" s="16" t="inlineStr">
        <is>
          <t>UI</t>
        </is>
      </c>
      <c r="I28" s="14" t="inlineStr">
        <is>
          <t>При отказе показана ошибка, а не сообщение об успехе; форма и сессия остаются для повтора, попытка не увеличивается. После восстановления обновление проходит один раз.</t>
        </is>
      </c>
      <c r="J28" s="14" t="inlineStr"/>
      <c r="K28" s="16" t="inlineStr">
        <is>
          <t>Not Run</t>
        </is>
      </c>
      <c r="L28" s="16" t="inlineStr">
        <is>
          <t>—</t>
        </is>
      </c>
    </row>
    <row r="29" ht="83.19999999999999" customHeight="1">
      <c r="A29" s="16" t="inlineStr">
        <is>
          <t>TC-193</t>
        </is>
      </c>
      <c r="B29" s="14" t="inlineStr">
        <is>
          <t>Недоступность AmoCRM при ручном подтверждении сохраняет форму</t>
        </is>
      </c>
      <c r="C29" s="14" t="inlineStr">
        <is>
          <t>Тот же отказ проверяем для ручного пути без AI: введённые человеком данные нельзя потерять или посчитать отправленными.</t>
        </is>
      </c>
      <c r="D29" s="14" t="inlineStr">
        <is>
          <t>Открыт ручной итог с заполненными полями. Тестовая AmoCRM временно отвечает ошибкой.</t>
        </is>
      </c>
      <c r="E29" s="14" t="inlineStr">
        <is>
          <t>1. Нажми «Подтвердить».
2. Проверь сообщение и введённые поля.
3. Обнови исходную сделку AmoCRM и проверь, что она не изменилась.
4. Верни AmoCRM в рабочее состояние.
5. Повтори подтверждение и снова проверь сделку.</t>
        </is>
      </c>
      <c r="F29" s="16" t="inlineStr">
        <is>
          <t>Critical</t>
        </is>
      </c>
      <c r="G29" s="16" t="inlineStr">
        <is>
          <t>Негативный</t>
        </is>
      </c>
      <c r="H29" s="16" t="inlineStr">
        <is>
          <t>UI</t>
        </is>
      </c>
      <c r="I29" s="14" t="inlineStr">
        <is>
          <t>Первая попытка показывает ошибку и сохраняет форму. После восстановления данные отправляются один раз в исходную сделку; дубликата и двойной попытки нет.</t>
        </is>
      </c>
      <c r="J29" s="14" t="inlineStr"/>
      <c r="K29" s="16" t="inlineStr">
        <is>
          <t>Not Run</t>
        </is>
      </c>
      <c r="L29" s="16" t="inlineStr">
        <is>
          <t>—</t>
        </is>
      </c>
    </row>
    <row r="30" ht="83.19999999999999" customHeight="1">
      <c r="A30" s="16" t="inlineStr">
        <is>
          <t>TC-194</t>
        </is>
      </c>
      <c r="B30" s="14" t="inlineStr">
        <is>
          <t>Просроченный Access token обновляется и запрос повторяется</t>
        </is>
      </c>
      <c r="C30" s="14" t="inlineStr">
        <is>
          <t>При ответе 401 сервер должен использовать Refresh token, сохранить новые токены и повторить исходный запрос без участия оператора.</t>
        </is>
      </c>
      <c r="D30" s="14" t="inlineStr">
        <is>
          <t>В тестовой конфигурации безопасно установлен просроченный Access token и рабочий Refresh token. Секреты хранятся только в .env/на сервере.</t>
        </is>
      </c>
      <c r="E30" s="14" t="inlineStr">
        <is>
          <t>1. Запусти синхронизацию тестовой воронки или отправку изменения сделки.
2. Наблюдай результат и журнал staging, не копируя токены.
3. Повтори обычный запрос после завершения.
4. Проверь данные в Operator AI и AmoCRM.</t>
        </is>
      </c>
      <c r="F30" s="16" t="inlineStr">
        <is>
          <t>Critical</t>
        </is>
      </c>
      <c r="G30" s="16" t="inlineStr">
        <is>
          <t>Граничный</t>
        </is>
      </c>
      <c r="H30" s="16" t="inlineStr">
        <is>
          <t>UI+API</t>
        </is>
      </c>
      <c r="I30" s="14" t="inlineStr">
        <is>
          <t>После первого 401 токен обновлён и операция завершается успешно. Пользователь не вводит токен повторно; в журнале нет значений Access/Refresh token.</t>
        </is>
      </c>
      <c r="J30" s="14" t="inlineStr"/>
      <c r="K30" s="16" t="inlineStr">
        <is>
          <t>Not Run</t>
        </is>
      </c>
      <c r="L30" s="16" t="inlineStr">
        <is>
          <t>—</t>
        </is>
      </c>
    </row>
    <row r="31" ht="70" customHeight="1">
      <c r="A31" s="16" t="inlineStr">
        <is>
          <t>TC-195</t>
        </is>
      </c>
      <c r="B31" s="14" t="inlineStr">
        <is>
          <t>Ответ 429 повторяется с паузой и не теряет данные</t>
        </is>
      </c>
      <c r="C31" s="14" t="inlineStr">
        <is>
          <t>AmoCRM ограничивает частоту запросов. Сервер делает до трёх попыток с растущими паузами и не должен оборвать всю синхронизацию после временного отказа.</t>
        </is>
      </c>
      <c r="D31" s="14" t="inlineStr">
        <is>
          <t>Используется тестовый стаб AmoCRM или безопасный прокси: первые два запроса возвращают 429, третий — успех. Подготовлен один тестовый лид.</t>
        </is>
      </c>
      <c r="E31" s="14" t="inlineStr">
        <is>
          <t>1. Запусти синхронизацию или PATCH тестового лида.
2. По журналу запиши время трёх запросов.
3. Дождись завершения операции.
4. Проверь тестовый лид в обеих системах.</t>
        </is>
      </c>
      <c r="F31" s="16" t="inlineStr">
        <is>
          <t>Critical</t>
        </is>
      </c>
      <c r="G31" s="16" t="inlineStr">
        <is>
          <t>Граничный</t>
        </is>
      </c>
      <c r="H31" s="16" t="inlineStr">
        <is>
          <t>API</t>
        </is>
      </c>
      <c r="I31" s="14" t="inlineStr">
        <is>
          <t>Сделано не более трёх запросов с паузами примерно 2 и 4 секунды. Третий успех сохраняет данные один раз; другие синхронизации продолжают работать.</t>
        </is>
      </c>
      <c r="J31" s="14" t="inlineStr"/>
      <c r="K31" s="16" t="inlineStr">
        <is>
          <t>Not Run</t>
        </is>
      </c>
      <c r="L31" s="16" t="inlineStr">
        <is>
          <t>—</t>
        </is>
      </c>
    </row>
    <row r="32" ht="83.19999999999999" customHeight="1">
      <c r="A32" s="16" t="inlineStr">
        <is>
          <t>TC-196</t>
        </is>
      </c>
      <c r="B32" s="14" t="inlineStr">
        <is>
          <t>Один проблемный РОП не останавливает синхронизацию остальных</t>
        </is>
      </c>
      <c r="C32" s="14" t="inlineStr">
        <is>
          <t>Планировщик обходит несколько компаний. Ошибка конфигурации одной компании должна быть записана и пропущена, а не завершать весь проход.</t>
        </is>
      </c>
      <c r="D32" s="14" t="inlineStr">
        <is>
          <t>Есть два тестовых РОП: у A конфигурация AmoCRM намеренно сломана, у B — рабочая. В назначенной воронке B создан новый лид.</t>
        </is>
      </c>
      <c r="E32" s="14" t="inlineStr">
        <is>
          <t>1. Дождись очередного двухминутного прохода.
2. Проверь журнал по РОП A и B.
3. Под оператором РОП B открой очередь и найди новый лид.
4. Проверь, что кабинет РОП A показывает ошибку только своей интеграции.</t>
        </is>
      </c>
      <c r="F32" s="16" t="inlineStr">
        <is>
          <t>Critical</t>
        </is>
      </c>
      <c r="G32" s="16" t="inlineStr">
        <is>
          <t>Негативный</t>
        </is>
      </c>
      <c r="H32" s="16" t="inlineStr">
        <is>
          <t>UI+API</t>
        </is>
      </c>
      <c r="I32" s="14" t="inlineStr">
        <is>
          <t>Ошибка A записана с его ID, но лид B успешно синхронизирован. Данные компаний не смешиваются, общий планировщик продолжает следующие проходы.</t>
        </is>
      </c>
      <c r="J32" s="14" t="inlineStr"/>
      <c r="K32" s="16" t="inlineStr">
        <is>
          <t>Not Run</t>
        </is>
      </c>
      <c r="L32" s="16" t="inlineStr">
        <is>
          <t>—</t>
        </is>
      </c>
    </row>
    <row r="33" ht="70" customHeight="1">
      <c r="A33" s="16" t="inlineStr">
        <is>
          <t>TC-197</t>
        </is>
      </c>
      <c r="B33" s="14" t="inlineStr">
        <is>
          <t>Повторная отправка одного результата не создаёт новую сделку</t>
        </is>
      </c>
      <c r="C33" s="14" t="inlineStr">
        <is>
          <t>Один и тот же call ID может быть отправлен повторно после неясного сетевого ответа. Повтор должен переиспользовать запись отправки и тот же Amo ID.</t>
        </is>
      </c>
      <c r="D33" s="14" t="inlineStr">
        <is>
          <t>Есть уже подтверждённый звонок с известными call ID, Amo ID и числом сделок.</t>
        </is>
      </c>
      <c r="E33" s="14" t="inlineStr">
        <is>
          <t>1. Через тестовый API повторно отправь тот же результат звонка с тем же call ID.
2. Дождись ответа.
3. Открой исходную сделку и её историю.
4. Пересчитай сделки воронки.</t>
        </is>
      </c>
      <c r="F33" s="16" t="inlineStr">
        <is>
          <t>Critical</t>
        </is>
      </c>
      <c r="G33" s="16" t="inlineStr">
        <is>
          <t>Негативный</t>
        </is>
      </c>
      <c r="H33" s="16" t="inlineStr">
        <is>
          <t>UI+API</t>
        </is>
      </c>
      <c r="I33" s="14" t="inlineStr">
        <is>
          <t>Повтор обновляет ту же сделку и не создаёт новую. В системе одна запись отправки на call ID; одинаковое примечание не размножается.</t>
        </is>
      </c>
      <c r="J33" s="14" t="inlineStr"/>
      <c r="K33" s="16" t="inlineStr">
        <is>
          <t>Not Run</t>
        </is>
      </c>
      <c r="L33" s="16" t="inlineStr">
        <is>
          <t>—</t>
        </is>
      </c>
    </row>
    <row r="34" ht="96.39999999999999" customHeight="1">
      <c r="A34" s="16" t="inlineStr">
        <is>
          <t>TC-198</t>
        </is>
      </c>
      <c r="B34" s="14" t="inlineStr">
        <is>
          <t>Сбой сети при подключении не создаёт конфигурацию-призрак</t>
        </is>
      </c>
      <c r="C34" s="14" t="inlineStr">
        <is>
          <t>Если ответ на создание подключения потерялся, супер-админ должен однозначно понять, создалась конфигурация или нет, и не получить дубль при повторе.</t>
        </is>
      </c>
      <c r="D34" s="14" t="inlineStr">
        <is>
          <t>Есть тестовый РОП без подключения. Инструменты браузера позволяют оборвать сеть сразу после нажатия кнопки.</t>
        </is>
      </c>
      <c r="E34" s="14" t="inlineStr">
        <is>
          <t>1. Заполни форму подключения тестовыми данными.
2. Нажми «Подключить» и сразу включи Offline.
3. Верни сеть, обнови список РОП и снова открой подключение.
4. Если конфигурации нет — отправь форму ещё раз; если есть — не создавай повторно.
5. Через API проверь число конфигураций РОП.</t>
        </is>
      </c>
      <c r="F34" s="16" t="inlineStr">
        <is>
          <t>High</t>
        </is>
      </c>
      <c r="G34" s="16" t="inlineStr">
        <is>
          <t>Негативный</t>
        </is>
      </c>
      <c r="H34" s="16" t="inlineStr">
        <is>
          <t>UI+API</t>
        </is>
      </c>
      <c r="I34" s="14" t="inlineStr">
        <is>
          <t>После восстановления показано реальное состояние. У РОП либо одна рабочая конфигурация, либо ни одной до безопасного повтора; конфигурации-призрака и дубля нет.</t>
        </is>
      </c>
      <c r="J34" s="14" t="inlineStr"/>
      <c r="K34" s="16" t="inlineStr">
        <is>
          <t>Not Run</t>
        </is>
      </c>
      <c r="L34" s="16" t="inlineStr">
        <is>
          <t>—</t>
        </is>
      </c>
    </row>
    <row r="35" ht="83.19999999999999" customHeight="1">
      <c r="A35" s="16" t="inlineStr">
        <is>
          <t>TC-199</t>
        </is>
      </c>
      <c r="B35" s="14" t="inlineStr">
        <is>
          <t>Секреты AmoCRM не попадают в интерфейс и журналы</t>
        </is>
      </c>
      <c r="C35" s="14" t="inlineStr">
        <is>
          <t>Client secret, Access token и Refresh token нельзя возвращать в API, показывать в карточке РОП или печатать при ошибках интеграции.</t>
        </is>
      </c>
      <c r="D35" s="14" t="inlineStr">
        <is>
          <t>Подключение создано. Есть доступ к ответу API и журналу staging только для чтения. Контрольные части секретов берутся из .env и не копируются в кейс.</t>
        </is>
      </c>
      <c r="E35" s="14" t="inlineStr">
        <is>
          <t>1. Открой сведения подключения в карточке РОП.
2. В Postman запроси конфигурацию по её ID.
3. Безопасно вызови ошибку подключения или обновления токена.
4. Поищи контрольные части трёх секретов в ответах и журнале.</t>
        </is>
      </c>
      <c r="F35" s="16" t="inlineStr">
        <is>
          <t>Critical</t>
        </is>
      </c>
      <c r="G35" s="16" t="inlineStr">
        <is>
          <t>Негативный</t>
        </is>
      </c>
      <c r="H35" s="16" t="inlineStr">
        <is>
          <t>UI+API</t>
        </is>
      </c>
      <c r="I35" s="14" t="inlineStr">
        <is>
          <t>В интерфейсе и ответе есть только несекретные поля. Client secret, Access token и Refresh token отсутствуют в ответах, URL и журналах даже при ошибке.</t>
        </is>
      </c>
      <c r="J35" s="14" t="inlineStr"/>
      <c r="K35" s="16" t="inlineStr">
        <is>
          <t>Not Run</t>
        </is>
      </c>
      <c r="L35" s="16" t="inlineStr">
        <is>
          <t>—</t>
        </is>
      </c>
    </row>
  </sheetData>
  <autoFilter ref="A1:L35"/>
  <conditionalFormatting sqref="K2:K6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65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65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65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136" customHeight="1">
      <c r="A2" s="16" t="inlineStr">
        <is>
          <t>TC-200</t>
        </is>
      </c>
      <c r="B2" s="14" t="inlineStr">
        <is>
          <t>Супер-админ подключает OnlinePBX к РОП</t>
        </is>
      </c>
      <c r="C2" s="14" t="inlineStr">
        <is>
          <t>Проверяем основной путь подключения телефонии. После него система должна получать звонки именно компании выбранного РОП.</t>
        </is>
      </c>
      <c r="D2" s="14" t="inlineStr">
        <is>
          <t>Работа ведётся только на staging. Есть тестовый РОП без подключения OnlinePBX. Domain и API key тестовой телефонии хранятся в .env.</t>
        </is>
      </c>
      <c r="E2" s="14" t="inlineStr">
        <is>
          <t>1. Войди под супер-админом и открой раздел «РОПы».
2. Открой карточку тестового РОП и нажми строку «OnlinePBX».
3. Убедись, что заголовок окна — «Подключение OnlinePBX: …» и указано имя нужного РОП.
4. В поле «Domain» введи домен тестовой телефонии без `https://`.
5. В поле «API key» вставь тестовый ключ из .env.
6. Нажми «Подключить».
7. Снова открой строку «OnlinePBX» у этого РОП.</t>
        </is>
      </c>
      <c r="F2" s="16" t="inlineStr">
        <is>
          <t>Critical</t>
        </is>
      </c>
      <c r="G2" s="16" t="inlineStr">
        <is>
          <t>Позитивный</t>
        </is>
      </c>
      <c r="H2" s="16" t="inlineStr">
        <is>
          <t>UI+API</t>
        </is>
      </c>
      <c r="I2" s="14" t="inlineStr">
        <is>
          <t>Показано сообщение «OnlinePBX подключён». В карточке именно этого РОП стоит «Подключено», а в окне видны правильный Domain, непустой Webhook token и время обновления. У другого РОП подключение не появилось.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70" customHeight="1">
      <c r="A3" s="16" t="inlineStr">
        <is>
          <t>TC-201</t>
        </is>
      </c>
      <c r="B3" s="14" t="inlineStr">
        <is>
          <t>Пустые Domain и API key не сохраняются</t>
        </is>
      </c>
      <c r="C3" s="14" t="inlineStr">
        <is>
          <t>Без адреса телефонии и ключа доступа подключение работать не может. Проверяем понятные подсказки и отсутствие пустой конфигурации.</t>
        </is>
      </c>
      <c r="D3" s="14" t="inlineStr">
        <is>
          <t>Выполнен вход под супер-админом. Есть тестовый РОП без OnlinePBX.</t>
        </is>
      </c>
      <c r="E3" s="14" t="inlineStr">
        <is>
          <t>1. Открой у РОП окно «Подключение OnlinePBX».
2. Оставь поля «Domain» и «API key» пустыми.
3. Щёлкни сначала внутри каждого поля, затем вне поля.
4. Посмотри подсказки и кнопку «Подключить».
5. Обнови страницу и снова открой это окно.</t>
        </is>
      </c>
      <c r="F3" s="16" t="inlineStr">
        <is>
          <t>High</t>
        </is>
      </c>
      <c r="G3" s="16" t="inlineStr">
        <is>
          <t>Негативный</t>
        </is>
      </c>
      <c r="H3" s="16" t="inlineStr">
        <is>
          <t>UI</t>
        </is>
      </c>
      <c r="I3" s="14" t="inlineStr">
        <is>
          <t>Показаны сообщения «Domain обязателен» и «API key обязателен». Кнопка «Подключить» неактивна, после обновления OnlinePBX остаётся неподключённым.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109.6" customHeight="1">
      <c r="A4" s="16" t="inlineStr">
        <is>
          <t>TC-202</t>
        </is>
      </c>
      <c r="B4" s="14" t="inlineStr">
        <is>
          <t>Неверный API key не даёт ложное «Подключено»</t>
        </is>
      </c>
      <c r="C4" s="14" t="inlineStr">
        <is>
          <t>Сохранить случайный текст вместо ключа недостаточно: система должна проверить доступ к OnlinePBX и не называть нерабочую запись подключением.</t>
        </is>
      </c>
      <c r="D4" s="14" t="inlineStr">
        <is>
          <t>Есть тестовый РОП без подключения. Подготовлен заведомо неверный API key, не совпадающий ни с одним настоящим секретом.</t>
        </is>
      </c>
      <c r="E4" s="14" t="inlineStr">
        <is>
          <t>1. Открой окно подключения OnlinePBX.
2. Введи правильный тестовый Domain.
3. В поле «API key» введи заведомо неверное значение.
4. Нажми «Подключить».
5. Если окно закрылось, снова открой OnlinePBX и нажми «Проверить подключение» в карточке РОП.
6. Попробуй загрузить список внутренних номеров при создании тестового оператора.</t>
        </is>
      </c>
      <c r="F4" s="16" t="inlineStr">
        <is>
          <t>Critical</t>
        </is>
      </c>
      <c r="G4" s="16" t="inlineStr">
        <is>
          <t>Негативный</t>
        </is>
      </c>
      <c r="H4" s="16" t="inlineStr">
        <is>
          <t>UI+API</t>
        </is>
      </c>
      <c r="I4" s="14" t="inlineStr">
        <is>
          <t>Показана ошибка подключения; состояние «Подключено» не устанавливается. Нерабочая конфигурация не используется для звонков и списка внутренних номеров. Если система сохранила любой ключ и показала успех — это дефект проверки подключения.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96.39999999999999" customHeight="1">
      <c r="A5" s="16" t="inlineStr">
        <is>
          <t>TC-203</t>
        </is>
      </c>
      <c r="B5" s="14" t="inlineStr">
        <is>
          <t>Domain очищается от пробелов и приводится к нижнему регистру</t>
        </is>
      </c>
      <c r="C5" s="14" t="inlineStr">
        <is>
          <t>Одинаковый домен, введённый как ` PBX23571.ONPBX.RU `, должен храниться в одном понятном виде и подходить к домену из вебхука.</t>
        </is>
      </c>
      <c r="D5" s="14" t="inlineStr">
        <is>
          <t>Есть тестовый РОП без подключения и действующий тестовый API key.</t>
        </is>
      </c>
      <c r="E5" s="14" t="inlineStr">
        <is>
          <t>1. В поле «Domain» введи рабочий домен с пробелом в начале, пробелом в конце и заглавными буквами.
2. Введи рабочий API key и нажми «Подключить».
3. Снова открой сведения OnlinePBX.
4. Сравни показанный Domain с исходным доменом.
5. Отправь один тестовый вебхук с тем же доменом в нижнем регистре.</t>
        </is>
      </c>
      <c r="F5" s="16" t="inlineStr">
        <is>
          <t>High</t>
        </is>
      </c>
      <c r="G5" s="16" t="inlineStr">
        <is>
          <t>Граничный</t>
        </is>
      </c>
      <c r="H5" s="16" t="inlineStr">
        <is>
          <t>UI+API</t>
        </is>
      </c>
      <c r="I5" s="14" t="inlineStr">
        <is>
          <t>Domain сохранён без внешних пробелов и строчными буквами. Тестовый вебхук принимается той же конфигурацией; второй вариант домена не создаётся.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83.19999999999999" customHeight="1">
      <c r="A6" s="16" t="inlineStr">
        <is>
          <t>TC-204</t>
        </is>
      </c>
      <c r="B6" s="14" t="inlineStr">
        <is>
          <t>Слишком длинные Domain и API key обрабатываются безопасно</t>
        </is>
      </c>
      <c r="C6" s="14" t="inlineStr">
        <is>
          <t>Проверяем защиту от случайной вставки огромного текста. Интерфейс не должен зависнуть, а сервер — сохранить заведомо непригодные значения как рабочее подключение.</t>
        </is>
      </c>
      <c r="D6" s="14" t="inlineStr">
        <is>
          <t>Есть тестовый РОП без OnlinePBX. Подготовлены строки длиной около 5000 символов без секретов.</t>
        </is>
      </c>
      <c r="E6" s="14" t="inlineStr">
        <is>
          <t>1. Открой окно подключения.
2. Вставь строку из 5000 букв в поле «Domain».
3. Вставь другую строку из 5000 букв в поле «API key».
4. Нажми «Подключить», если кнопка активна.
5. Обнови страницу и проверь состояние OnlinePBX у РОП.</t>
        </is>
      </c>
      <c r="F6" s="16" t="inlineStr">
        <is>
          <t>Medium</t>
        </is>
      </c>
      <c r="G6" s="16" t="inlineStr">
        <is>
          <t>Граничный</t>
        </is>
      </c>
      <c r="H6" s="16" t="inlineStr">
        <is>
          <t>UI</t>
        </is>
      </c>
      <c r="I6" s="14" t="inlineStr">
        <is>
          <t>Страница остаётся отзывчивой. Показана ошибка формата или длины, а подключение не помечено рабочим. В сообщении и адресной строке не повторяется введённая длинная строка целиком.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83.19999999999999" customHeight="1">
      <c r="A7" s="16" t="inlineStr">
        <is>
          <t>TC-205</t>
        </is>
      </c>
      <c r="B7" s="14" t="inlineStr">
        <is>
          <t>Повторное подключение не создаёт две конфигурации</t>
        </is>
      </c>
      <c r="C7" s="14" t="inlineStr">
        <is>
          <t>У одного РОП должна быть одна активная конфигурация OnlinePBX. Двойной щелчок или повтор запроса не должны создать два Webhook token и двойную обработку звонков.</t>
        </is>
      </c>
      <c r="D7" s="14" t="inlineStr">
        <is>
          <t>Есть тестовый РОП без OnlinePBX и рабочие тестовые данные подключения.</t>
        </is>
      </c>
      <c r="E7" s="14" t="inlineStr">
        <is>
          <t>1. Заполни Domain и API key.
2. Быстро дважды нажми «Подключить».
3. Дождись завершения и обнови страницу.
4. Через Postman запроси `GET {STAGE_API_URL}/v1/onlinepbx/configs` с токеном супер-админа.
5. Найди все элементы с `rop_id` тестового РОП.</t>
        </is>
      </c>
      <c r="F7" s="16" t="inlineStr">
        <is>
          <t>Critical</t>
        </is>
      </c>
      <c r="G7" s="16" t="inlineStr">
        <is>
          <t>Негативный</t>
        </is>
      </c>
      <c r="H7" s="16" t="inlineStr">
        <is>
          <t>UI+API</t>
        </is>
      </c>
      <c r="I7" s="14" t="inlineStr">
        <is>
          <t>Кнопка блокируется во время отправки. Для РОП существует ровно одна конфигурация и один Webhook token; повторный запрос не включает двойную обработку событий.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109.6" customHeight="1">
      <c r="A8" s="16" t="inlineStr">
        <is>
          <t>TC-206</t>
        </is>
      </c>
      <c r="B8" s="14" t="inlineStr">
        <is>
          <t>Потеря сети при подключении не создаёт конфигурацию-призрак</t>
        </is>
      </c>
      <c r="C8" s="14" t="inlineStr">
        <is>
          <t>Если ответ сервера потерялся, после восстановления должно быть ясно, сохранилось подключение или нет. Безопасный повтор не должен создать дубль.</t>
        </is>
      </c>
      <c r="D8" s="14" t="inlineStr">
        <is>
          <t>Есть РОП без OnlinePBX. В инструментах браузера можно включить режим Offline.</t>
        </is>
      </c>
      <c r="E8" s="14" t="inlineStr">
        <is>
          <t>1. Заполни форму рабочими тестовыми данными.
2. Нажми «Подключить» и сразу включи Offline.
3. Через несколько секунд верни сеть и обнови страницу.
4. Снова открой OnlinePBX у этого РОП.
5. Если конфигурации нет — повтори подключение один раз.
6. Через API посчитай конфигурации этого РОП.</t>
        </is>
      </c>
      <c r="F8" s="16" t="inlineStr">
        <is>
          <t>High</t>
        </is>
      </c>
      <c r="G8" s="16" t="inlineStr">
        <is>
          <t>Негативный</t>
        </is>
      </c>
      <c r="H8" s="16" t="inlineStr">
        <is>
          <t>UI+API</t>
        </is>
      </c>
      <c r="I8" s="14" t="inlineStr">
        <is>
          <t>После восстановления показано фактическое состояние. В итоге есть одна рабочая конфигурация или ни одной до повтора; дублей и ложного сообщения об успехе нет.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109.6" customHeight="1">
      <c r="A9" s="16" t="inlineStr">
        <is>
          <t>TC-207</t>
        </is>
      </c>
      <c r="B9" s="14" t="inlineStr">
        <is>
          <t>Удаление OnlinePBX прекращает приём звонков компании</t>
        </is>
      </c>
      <c r="C9" s="14" t="inlineStr">
        <is>
          <t>Удаление подключения должно действительно разорвать связь: старый Webhook token после этого не является пропуском для новых звонков.</t>
        </is>
      </c>
      <c r="D9" s="14" t="inlineStr">
        <is>
          <t>У тестового РОП подключён OnlinePBX. Сохранён его Webhook token только во временной переменной Postman, не в документе.</t>
        </is>
      </c>
      <c r="E9" s="14" t="inlineStr">
        <is>
          <t>1. Открой у РОП строку «OnlinePBX».
2. Нажми «Удалить» и дождись сообщения «Конфигурация OnlinePBX удалена».
3. Обнови карточку РОП и проверь состояние подключения.
4. Отправь безопасный тестовый вебхук со старым токеном и уникальным UUID.
5. Проверь список звонков.</t>
        </is>
      </c>
      <c r="F9" s="16" t="inlineStr">
        <is>
          <t>Critical</t>
        </is>
      </c>
      <c r="G9" s="16" t="inlineStr">
        <is>
          <t>Негативный</t>
        </is>
      </c>
      <c r="H9" s="16" t="inlineStr">
        <is>
          <t>UI+API</t>
        </is>
      </c>
      <c r="I9" s="14" t="inlineStr">
        <is>
          <t>Карточка показывает «Не подключено — нажмите для настройки». Старый токен отклоняется, тестовый звонок не появляется и AI не запускается.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136" customHeight="1">
      <c r="A10" s="16" t="inlineStr">
        <is>
          <t>TC-208</t>
        </is>
      </c>
      <c r="B10" s="14" t="inlineStr">
        <is>
          <t>РОП и оператор не управляют конфигурациями OnlinePBX через API</t>
        </is>
      </c>
      <c r="C10" s="14" t="inlineStr">
        <is>
          <t>Скрытой кнопки недостаточно. Методы просмотра, создания, изменения и удаления подключений должны проверять роль на сервере.</t>
        </is>
      </c>
      <c r="D10" s="14" t="inlineStr">
        <is>
          <t>Есть токены тестового РОП и оператора, ID существующей конфигурации другого тестового РОП и безопасные тестовые данные.</t>
        </is>
      </c>
      <c r="E10" s="14" t="inlineStr">
        <is>
          <t>1. В Postman с токеном РОП отправь `GET /v1/onlinepbx/configs`.
2. С тем же токеном отправь `POST /v1/onlinepbx/configs` с тестовым `rop_id`, Domain и API key.
3. Отправь `PATCH /v1/onlinepbx/configs/{id}` с заменой Domain.
4. Отправь `DELETE /v1/onlinepbx/configs/{id}`.
5. Повтори четыре запроса с токеном оператора.
6. Под супер-админом проверь, что исходная конфигурация не изменилась.</t>
        </is>
      </c>
      <c r="F10" s="16" t="inlineStr">
        <is>
          <t>Critical</t>
        </is>
      </c>
      <c r="G10" s="16" t="inlineStr">
        <is>
          <t>Негативный</t>
        </is>
      </c>
      <c r="H10" s="16" t="inlineStr">
        <is>
          <t>API</t>
        </is>
      </c>
      <c r="I10" s="14" t="inlineStr">
        <is>
          <t>Все восемь запросов возвращают 403 («нет прав»), не 200/201. Список и секреты не раскрыты, новая конфигурация не создана, существующая не изменена и не удалена.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96.39999999999999" customHeight="1">
      <c r="A11" s="16" t="inlineStr">
        <is>
          <t>TC-209</t>
        </is>
      </c>
      <c r="B11" s="14" t="inlineStr">
        <is>
          <t>API key OnlinePBX не возвращается и не попадает в журналы</t>
        </is>
      </c>
      <c r="C11" s="14" t="inlineStr">
        <is>
          <t>API key даёт доступ к телефонии и является секретом. Фронтенд прямо рассчитывает, что сервер не возвращает сохранённый `call_token`; проверяем это отдельно.</t>
        </is>
      </c>
      <c r="D11" s="14" t="inlineStr">
        <is>
          <t>OnlinePBX подключён. Есть доступ на чтение ответов API и журнала staging. Контрольный фрагмент ключа берётся из .env и нигде не сохраняется.</t>
        </is>
      </c>
      <c r="E11" s="14" t="inlineStr">
        <is>
          <t>1. Открой сведения OnlinePBX в карточке РОП.
2. Под супер-админом запроси `GET /v1/onlinepbx/configs`.
3. Запроси `GET /v1/onlinepbx/configs/{id}`.
4. Безопасно вызови ошибку проверки телефонии.
5. Поищи контрольный фрагмент API key в интерфейсе, двух ответах, адресах запросов и журнале.</t>
        </is>
      </c>
      <c r="F11" s="16" t="inlineStr">
        <is>
          <t>Critical</t>
        </is>
      </c>
      <c r="G11" s="16" t="inlineStr">
        <is>
          <t>Негативный</t>
        </is>
      </c>
      <c r="H11" s="16" t="inlineStr">
        <is>
          <t>UI+API</t>
        </is>
      </c>
      <c r="I11" s="14" t="inlineStr">
        <is>
          <t>API key нигде не отображается и не возвращается; поле `call_token` отсутствует или замаскировано без возможности восстановить ключ. В журналах и URL секрета нет. Webhook token показывается отдельно только супер-админу.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122.8" customHeight="1">
      <c r="A12" s="16" t="inlineStr">
        <is>
          <t>TC-210</t>
        </is>
      </c>
      <c r="B12" s="14" t="inlineStr">
        <is>
          <t>Валидный исходящий вебхук создаёт один звонок нужного оператора</t>
        </is>
      </c>
      <c r="C12" s="14" t="inlineStr">
        <is>
          <t>Проверяем основной путь: OnlinePBX сообщает о завершённом отвеченном исходящем звонке, система находит оператора по полю `caller` и сохраняет событие.</t>
        </is>
      </c>
      <c r="D12" s="14" t="inlineStr">
        <is>
          <t>У РОП настроен OnlinePBX. Внутренний номер 101 назначен тестовому оператору. Есть тестовый лид с известным телефоном и получен Webhook token.</t>
        </is>
      </c>
      <c r="E12" s="14" t="inlineStr">
        <is>
          <t>1. В Postman создай POST на `{STAGE_API_URL}/v1/integrations/onlinepbx/webhook`.
2. Добавь заголовок `X-OnlinePBX-Webhook-Token` со временным токеном из карточки РОП.
3. Отправь JSON с уникальным `uuid`, `event=call_end`, правильным `domain`, `direction=outbound`, `caller=101`, телефоном лида в `callee` и `dialog_duration=30`.
4. Проверь код и сообщение ответа.
5. Открой «Звонки» у оператора 101 и найди событие.</t>
        </is>
      </c>
      <c r="F12" s="16" t="inlineStr">
        <is>
          <t>Critical</t>
        </is>
      </c>
      <c r="G12" s="16" t="inlineStr">
        <is>
          <t>Позитивный</t>
        </is>
      </c>
      <c r="H12" s="16" t="inlineStr">
        <is>
          <t>UI+API</t>
        </is>
      </c>
      <c r="I12" s="14" t="inlineStr">
        <is>
          <t>Ответ успешный и содержит «webhook saqlandi». В списке появился ровно один исходящий звонок оператора 101, связанный с правильным лидом и РОП.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96.39999999999999" customHeight="1">
      <c r="A13" s="16" t="inlineStr">
        <is>
          <t>TC-211</t>
        </is>
      </c>
      <c r="B13" s="14" t="inlineStr">
        <is>
          <t>Входящий вебхук находит оператора по полю callee</t>
        </is>
      </c>
      <c r="C13" s="14" t="inlineStr">
        <is>
          <t>Во входящем звонке клиент находится в `caller`, а внутренний номер оператора — в `callee`. Проверяем, что номера не перепутаны.</t>
        </is>
      </c>
      <c r="D13" s="14" t="inlineStr">
        <is>
          <t>Внутренний номер 102 назначен другому тестовому оператору. Есть тестовый клиентский номер.</t>
        </is>
      </c>
      <c r="E13" s="14" t="inlineStr">
        <is>
          <t>1. Отправь валидный вебхук с новым UUID и `direction=inbound`.
2. Укажи телефон клиента в `caller`, `102` в `callee` и длительность разговора больше нуля.
3. Открой список звонков оператора 102.
4. Открой карточку события и проверь направление и внешний номер.</t>
        </is>
      </c>
      <c r="F13" s="16" t="inlineStr">
        <is>
          <t>Critical</t>
        </is>
      </c>
      <c r="G13" s="16" t="inlineStr">
        <is>
          <t>Позитивный</t>
        </is>
      </c>
      <c r="H13" s="16" t="inlineStr">
        <is>
          <t>UI+API</t>
        </is>
      </c>
      <c r="I13" s="14" t="inlineStr">
        <is>
          <t>Событие принадлежит оператору 102, помечено входящим и показывает телефон клиента, а не внутренний номер. Оно не появилось у оператора 101.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96.39999999999999" customHeight="1">
      <c r="A14" s="16" t="inlineStr">
        <is>
          <t>TC-212</t>
        </is>
      </c>
      <c r="B14" s="14" t="inlineStr">
        <is>
          <t>Вебхук без токена отклоняется</t>
        </is>
      </c>
      <c r="C14" s="14" t="inlineStr">
        <is>
          <t>Webhook token — как пропуск для OnlinePBX. Без него посторонний не должен добавлять в систему поддельные звонки.</t>
        </is>
      </c>
      <c r="D14" s="14" t="inlineStr">
        <is>
          <t>Известен рабочий Domain тестового РОП. Подготовлен уникальный UUID, которого ещё нет.</t>
        </is>
      </c>
      <c r="E14" s="14" t="inlineStr">
        <is>
          <t>1. В Postman создай валидный JSON звонка с рабочим Domain и уникальным UUID.
2. Не добавляй ни заголовок токена, ни параметр `?token=`.
3. Отправь POST на `/v1/integrations/onlinepbx/webhook`.
4. Проверь ответ и список звонков.</t>
        </is>
      </c>
      <c r="F14" s="16" t="inlineStr">
        <is>
          <t>Critical</t>
        </is>
      </c>
      <c r="G14" s="16" t="inlineStr">
        <is>
          <t>Негативный</t>
        </is>
      </c>
      <c r="H14" s="16" t="inlineStr">
        <is>
          <t>API</t>
        </is>
      </c>
      <c r="I14" s="14" t="inlineStr">
        <is>
          <t>Сервер возвращает 403 и сообщает о неверном токене. Событие не сохранено, аудио не скачивается и AI не запускается.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83.19999999999999" customHeight="1">
      <c r="A15" s="16" t="inlineStr">
        <is>
          <t>TC-213</t>
        </is>
      </c>
      <c r="B15" s="14" t="inlineStr">
        <is>
          <t>Вебхук с неверным токеном отклоняется</t>
        </is>
      </c>
      <c r="C15" s="14" t="inlineStr">
        <is>
          <t>Случайная строка или Webhook token, в котором изменён один символ, не должны считаться действительными.</t>
        </is>
      </c>
      <c r="D15" s="14" t="inlineStr">
        <is>
          <t>Есть валидный payload и Webhook token тестового РОП.</t>
        </is>
      </c>
      <c r="E15" s="14" t="inlineStr">
        <is>
          <t>1. Сделай копию Webhook token во временной переменной Postman.
2. Замени в копии последний символ.
3. Отправь валидный вебхук с изменённым токеном и уникальным UUID.
4. Проверь код ответа и список звонков.</t>
        </is>
      </c>
      <c r="F15" s="16" t="inlineStr">
        <is>
          <t>Critical</t>
        </is>
      </c>
      <c r="G15" s="16" t="inlineStr">
        <is>
          <t>Негативный</t>
        </is>
      </c>
      <c r="H15" s="16" t="inlineStr">
        <is>
          <t>API</t>
        </is>
      </c>
      <c r="I15" s="14" t="inlineStr">
        <is>
          <t>Ответ 403. В сообщении нет правильного токена или его частей; новый звонок не появляется.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70" customHeight="1">
      <c r="A16" s="16" t="inlineStr">
        <is>
          <t>TC-214</t>
        </is>
      </c>
      <c r="B16" s="14" t="inlineStr">
        <is>
          <t>Чужой Domain не принимается</t>
        </is>
      </c>
      <c r="C16" s="14" t="inlineStr">
        <is>
          <t>Сервер имеет список разрешённых доменов. Даже с правильно составленным JSON нельзя добавить звонок от неизвестной телефонии.</t>
        </is>
      </c>
      <c r="D16" s="14" t="inlineStr">
        <is>
          <t>Подготовлен домен `foreign-pbx.invalid`, отсутствующий в настройках staging и у всех РОП.</t>
        </is>
      </c>
      <c r="E16" s="14" t="inlineStr">
        <is>
          <t>1. Создай валидный payload с уникальным UUID и чужим Domain.
2. Добавь любой тестовый Webhook token.
3. Отправь вебхук.
4. Проверь ответ и списки звонков всех тестовых РОП.</t>
        </is>
      </c>
      <c r="F16" s="16" t="inlineStr">
        <is>
          <t>Critical</t>
        </is>
      </c>
      <c r="G16" s="16" t="inlineStr">
        <is>
          <t>Негативный</t>
        </is>
      </c>
      <c r="H16" s="16" t="inlineStr">
        <is>
          <t>API</t>
        </is>
      </c>
      <c r="I16" s="14" t="inlineStr">
        <is>
          <t>Ответ 403 с сообщением, что Domain не разрешён. Событие не попадает ни в одну компанию.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83.19999999999999" customHeight="1">
      <c r="A17" s="16" t="inlineStr">
        <is>
          <t>TC-215</t>
        </is>
      </c>
      <c r="B17" s="14" t="inlineStr">
        <is>
          <t>Токен одного РОП не подходит к Domain другого</t>
        </is>
      </c>
      <c r="C17" s="14" t="inlineStr">
        <is>
          <t>Проверяем изоляцию компаний: настоящий токен компании A не должен открывать вход для событий компании B.</t>
        </is>
      </c>
      <c r="D17" s="14" t="inlineStr">
        <is>
          <t>У двух тестовых РОП A и B разные Domain и Webhook token. Значения хранятся только во временных переменных Postman.</t>
        </is>
      </c>
      <c r="E17" s="14" t="inlineStr">
        <is>
          <t>1. Создай payload звонка с Domain компании B и уникальным UUID.
2. Отправь его с Webhook token компании A.
3. Проверь ответ.
4. Открой списки звонков компаний A и B.
5. Повтори payload с правильным токеном B.</t>
        </is>
      </c>
      <c r="F17" s="16" t="inlineStr">
        <is>
          <t>Critical</t>
        </is>
      </c>
      <c r="G17" s="16" t="inlineStr">
        <is>
          <t>Негативный</t>
        </is>
      </c>
      <c r="H17" s="16" t="inlineStr">
        <is>
          <t>UI+API</t>
        </is>
      </c>
      <c r="I17" s="14" t="inlineStr">
        <is>
          <t>Первая отправка получает 403 и нигде не сохраняется. Вторая принимается только компанией B. Данные двух РОП не смешиваются.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83.19999999999999" customHeight="1">
      <c r="A18" s="16" t="inlineStr">
        <is>
          <t>TC-216</t>
        </is>
      </c>
      <c r="B18" s="14" t="inlineStr">
        <is>
          <t>Пустой или неполный payload вебхука возвращает понятную ошибку</t>
        </is>
      </c>
      <c r="C18" s="14" t="inlineStr">
        <is>
          <t>Если OnlinePBX прислал повреждённое сообщение, сервер не должен создавать строку без события, домена или номера получателя.</t>
        </is>
      </c>
      <c r="D18" s="14" t="inlineStr">
        <is>
          <t>Есть Webhook token тестового РОП.</t>
        </is>
      </c>
      <c r="E18" s="14" t="inlineStr">
        <is>
          <t>1. Отправь с правильным токеном пустой JSON `{}`.
2. Отправь JSON без поля `event`.
3. Отправь JSON без поля `domain`.
4. Отправь JSON без поля `callee`.
5. После каждого запроса запиши код и проверь список звонков.</t>
        </is>
      </c>
      <c r="F18" s="16" t="inlineStr">
        <is>
          <t>High</t>
        </is>
      </c>
      <c r="G18" s="16" t="inlineStr">
        <is>
          <t>Негативный</t>
        </is>
      </c>
      <c r="H18" s="16" t="inlineStr">
        <is>
          <t>API</t>
        </is>
      </c>
      <c r="I18" s="14" t="inlineStr">
        <is>
          <t>Каждый запрос получает 400 («payload неверный»). Ни одна неполная запись не создана, сервер продолжает принимать следующий валидный запрос.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70" customHeight="1">
      <c r="A19" s="16" t="inlineStr">
        <is>
          <t>TC-217</t>
        </is>
      </c>
      <c r="B19" s="14" t="inlineStr">
        <is>
          <t>Повтор одного вебхука не создаёт второй звонок</t>
        </is>
      </c>
      <c r="C19" s="14" t="inlineStr">
        <is>
          <t>OnlinePBX может повторно доставить одно сообщение. Уникальный UUID должен обеспечить один звонок, одно аудио и один запуск анализа.</t>
        </is>
      </c>
      <c r="D19" s="14" t="inlineStr">
        <is>
          <t>Подготовлен валидный отвеченный звонок известного оператора с уникальным UUID.</t>
        </is>
      </c>
      <c r="E19" s="14" t="inlineStr">
        <is>
          <t>1. Отправь валидный вебхук первый раз.
2. Не меняя JSON, отправь его второй раз.
3. Обнови список звонков.
4. Посчитай события с этим UUID и проверь транскрипцию/журнал AI.</t>
        </is>
      </c>
      <c r="F19" s="16" t="inlineStr">
        <is>
          <t>Critical</t>
        </is>
      </c>
      <c r="G19" s="16" t="inlineStr">
        <is>
          <t>Негативный</t>
        </is>
      </c>
      <c r="H19" s="16" t="inlineStr">
        <is>
          <t>UI+API</t>
        </is>
      </c>
      <c r="I19" s="14" t="inlineStr">
        <is>
          <t>В базе и интерфейсе один звонок. Повтор может обновить ту же запись более свежими данными, но не создаёт вторую; аудио не дублируется и AI не запускается дважды.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83.19999999999999" customHeight="1">
      <c r="A20" s="16" t="inlineStr">
        <is>
          <t>TC-218</t>
        </is>
      </c>
      <c r="B20" s="14" t="inlineStr">
        <is>
          <t>Вебхук без download_url получает запись через API OnlinePBX</t>
        </is>
      </c>
      <c r="C20" s="14" t="inlineStr">
        <is>
          <t>Реальный вебхук не всегда содержит ссылку на запись. Для отвеченного звонка система должна запросить её по UUID у OnlinePBX.</t>
        </is>
      </c>
      <c r="D20" s="14" t="inlineStr">
        <is>
          <t>Есть завершённый отвеченный звонок известного оператора в тестовом OnlinePBX. Его UUID существует в истории и запись доступна, но payload отправляется без `download_url`.</t>
        </is>
      </c>
      <c r="E20" s="14" t="inlineStr">
        <is>
          <t>1. Отправь валидный вебхук этого звонка без поля `download_url`.
2. Дождись появления события.
3. Открой звонок и нажми воспроизведение записи.
4. Проверь, появилась ли транскрипция после обработки.</t>
        </is>
      </c>
      <c r="F20" s="16" t="inlineStr">
        <is>
          <t>Critical</t>
        </is>
      </c>
      <c r="G20" s="16" t="inlineStr">
        <is>
          <t>Позитивный</t>
        </is>
      </c>
      <c r="H20" s="16" t="inlineStr">
        <is>
          <t>UI+API</t>
        </is>
      </c>
      <c r="I20" s="14" t="inlineStr">
        <is>
          <t>Система сама получает ссылку по UUID, сохраняет стабильную копию аудио, запись воспроизводится и доступна для AI. Отсутствие `download_url` не оставляет отвеченный звонок без записи.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109.6" customHeight="1">
      <c r="A21" s="16" t="inlineStr">
        <is>
          <t>TC-219</t>
        </is>
      </c>
      <c r="B21" s="14" t="inlineStr">
        <is>
          <t>Временно недоступная запись подхватывается следующим опросом истории</t>
        </is>
      </c>
      <c r="C21" s="14" t="inlineStr">
        <is>
          <t>Сразу после звонка запись может ещё не быть готова. Ошибка первого запроса не должна навсегда лишить звонок аудио.</t>
        </is>
      </c>
      <c r="D21" s="14" t="inlineStr">
        <is>
          <t>На staging тестовый стаб OnlinePBX первый запрос записи по UUID отклоняет, а следующий возвращает рабочую ссылку. Звонок внутри последних 10 минут.</t>
        </is>
      </c>
      <c r="E21" s="14" t="inlineStr">
        <is>
          <t>1. Отправь вебхук отвеченного звонка без `download_url`.
2. Убедись, что первый запрос записи временно завершился ошибкой.
3. Подожди следующий фоновый опрос истории (обычно до 30 секунд).
4. Обнови звонок и попробуй воспроизвести аудио.
5. Проверь число событий и запуск транскрипции.</t>
        </is>
      </c>
      <c r="F21" s="16" t="inlineStr">
        <is>
          <t>Critical</t>
        </is>
      </c>
      <c r="G21" s="16" t="inlineStr">
        <is>
          <t>Негативный</t>
        </is>
      </c>
      <c r="H21" s="16" t="inlineStr">
        <is>
          <t>UI+API</t>
        </is>
      </c>
      <c r="I21" s="14" t="inlineStr">
        <is>
          <t>Следующий опрос получает запись и обновляет тот же звонок. Событие одно, аудио воспроизводится, транскрипция запускается один раз.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83.19999999999999" customHeight="1">
      <c r="A22" s="16" t="inlineStr">
        <is>
          <t>TC-220</t>
        </is>
      </c>
      <c r="B22" s="14" t="inlineStr">
        <is>
          <t>Пропущенный вебхук восстанавливается из истории за 10 минут</t>
        </is>
      </c>
      <c r="C22" s="14" t="inlineStr">
        <is>
          <t>Фоновый опрос — страховка на случай недоступного публичного вебхука. Он каждые 30 секунд смотрит завершённые звонки за последние 10 минут.</t>
        </is>
      </c>
      <c r="D22" s="14" t="inlineStr">
        <is>
          <t>У тестового РОП рабочий API key. Доставка вебхука безопасно отключена только для одного тестового отвеченного звонка известного оператора.</t>
        </is>
      </c>
      <c r="E22" s="14" t="inlineStr">
        <is>
          <t>1. Соверши отвеченный звонок через тестовый OnlinePBX.
2. Убедись, что вебхук не доставлен.
3. Подожди до двух фоновых проходов.
4. Обнови список звонков оператора.
5. Открой событие и проверь аудио.
6. Верни доставку вебхуков в рабочее состояние.</t>
        </is>
      </c>
      <c r="F22" s="16" t="inlineStr">
        <is>
          <t>Critical</t>
        </is>
      </c>
      <c r="G22" s="16" t="inlineStr">
        <is>
          <t>Негативный</t>
        </is>
      </c>
      <c r="H22" s="16" t="inlineStr">
        <is>
          <t>UI</t>
        </is>
      </c>
      <c r="I22" s="14" t="inlineStr">
        <is>
          <t>Не позднее следующего успешного прохода звонок появляется из истории с правильным оператором и аудио. Ручная повторная доставка вебхука не создаёт дубль.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83.19999999999999" customHeight="1">
      <c r="A23" s="16" t="inlineStr">
        <is>
          <t>TC-221</t>
        </is>
      </c>
      <c r="B23" s="14" t="inlineStr">
        <is>
          <t>Граница окна истории: звонок старше 10 минут не подхватывается сам</t>
        </is>
      </c>
      <c r="C23" s="14" t="inlineStr">
        <is>
          <t>Фоновая страховка ограничена десятью минутами. Проверяем границу, чтобы не ожидать восстановления старых звонков и зафиксировать операционное ограничение.</t>
        </is>
      </c>
      <c r="D23" s="14" t="inlineStr">
        <is>
          <t>В тестовой истории есть звонок известного оператора старше 10 минут, которого нет в Operator AI. Вебхук для него не доставлялся.</t>
        </is>
      </c>
      <c r="E23" s="14" t="inlineStr">
        <is>
          <t>1. Запиши точное время звонка: оно старше текущего времени более чем на 10 минут.
2. Дождись двух фоновых проходов.
3. Поищи UUID в списке звонков и через API.
4. Отдельно создай свежий звонок и убедись, что опрос истории вообще работает.</t>
        </is>
      </c>
      <c r="F23" s="16" t="inlineStr">
        <is>
          <t>Medium</t>
        </is>
      </c>
      <c r="G23" s="16" t="inlineStr">
        <is>
          <t>Граничный</t>
        </is>
      </c>
      <c r="H23" s="16" t="inlineStr">
        <is>
          <t>UI+API</t>
        </is>
      </c>
      <c r="I23" s="14" t="inlineStr">
        <is>
          <t>Старый звонок автоматически не импортируется, свежий импортируется. Ограничение окна подтверждено; для восстановления старого события нужен отдельный ручной процесс.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70" customHeight="1">
      <c r="A24" s="16" t="inlineStr">
        <is>
          <t>TC-222</t>
        </is>
      </c>
      <c r="B24" s="14" t="inlineStr">
        <is>
          <t>Ошибка OnlinePBX одного РОП не останавливает остальных</t>
        </is>
      </c>
      <c r="C24" s="14" t="inlineStr">
        <is>
          <t>Фоновый процесс обходит до 200 подключений. Неверный ключ компании A не должен лишить компанию B её звонков.</t>
        </is>
      </c>
      <c r="D24" s="14" t="inlineStr">
        <is>
          <t>Есть два тестовых РОП: у A временно неверный API key, у B рабочий. У B совершён отвеченный звонок без доставки вебхука.</t>
        </is>
      </c>
      <c r="E24" s="14" t="inlineStr">
        <is>
          <t>1. Запусти или дождись фонового опроса истории.
2. Проверь сообщение об ошибке компании A в журнале без вывода её ключа.
3. Открой список звонков компании B.
4. Исправь ключ A и дождись следующего прохода.</t>
        </is>
      </c>
      <c r="F24" s="16" t="inlineStr">
        <is>
          <t>Critical</t>
        </is>
      </c>
      <c r="G24" s="16" t="inlineStr">
        <is>
          <t>Негативный</t>
        </is>
      </c>
      <c r="H24" s="16" t="inlineStr">
        <is>
          <t>UI+API</t>
        </is>
      </c>
      <c r="I24" s="14" t="inlineStr">
        <is>
          <t>Ошибка A записана и обработка продолжается. Звонок B импортирован в том же проходе. После исправления A следующий проход работает; данные компаний не смешаны.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70" customHeight="1">
      <c r="A25" s="16" t="inlineStr">
        <is>
          <t>TC-223</t>
        </is>
      </c>
      <c r="B25" s="14" t="inlineStr">
        <is>
          <t>Конфигурация без ключа или Domain безопасно пропускается фоновым опросом</t>
        </is>
      </c>
      <c r="C25" s="14" t="inlineStr">
        <is>
          <t>Старая или повреждённая запись не должна обрушать общий процесс и порождать запросы с пустыми секретами.</t>
        </is>
      </c>
      <c r="D25" s="14" t="inlineStr">
        <is>
          <t>На staging через согласованный тестовый способ подготовлена старая конфигурация без Call token либо Domain. Есть вторая рабочая компания.</t>
        </is>
      </c>
      <c r="E25" s="14" t="inlineStr">
        <is>
          <t>1. Дождись фонового опроса истории.
2. Проверь журнал запросов к OnlinePBX.
3. Проверь звонки рабочей компании.
4. Удалите повреждённую тестовую конфигурацию после проверки.</t>
        </is>
      </c>
      <c r="F25" s="16" t="inlineStr">
        <is>
          <t>High</t>
        </is>
      </c>
      <c r="G25" s="16" t="inlineStr">
        <is>
          <t>Негативный</t>
        </is>
      </c>
      <c r="H25" s="16" t="inlineStr">
        <is>
          <t>API</t>
        </is>
      </c>
      <c r="I25" s="14" t="inlineStr">
        <is>
          <t>Повреждённая конфигурация пропущена без запроса с пустым ключом. Общий процесс не падает, рабочая компания синхронизируется.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  <row r="26" ht="109.6" customHeight="1">
      <c r="A26" s="16" t="inlineStr">
        <is>
          <t>TC-224</t>
        </is>
      </c>
      <c r="B26" s="14" t="inlineStr">
        <is>
          <t>Аудио отвеченного звонка сохраняется и воспроизводится после истечения ссылки</t>
        </is>
      </c>
      <c r="C26" s="14" t="inlineStr">
        <is>
          <t>Ссылка OnlinePBX может быть временной, поэтому сервер складывает запись в своё хранилище. Позднее воспроизведение не должно зависеть от старой ссылки провайдера.</t>
        </is>
      </c>
      <c r="D26" s="14" t="inlineStr">
        <is>
          <t>Есть отвеченный звонок известного оператора с записью. Доступ к исходной временной ссылке можно безопасно отключить после первого импорта.</t>
        </is>
      </c>
      <c r="E26" s="14" t="inlineStr">
        <is>
          <t>1. Дождись импорта звонка и один раз воспроизведи запись.
2. Убедись, что запись сохранена в тестовом объектном хранилище.
3. Сделай исходную ссылку OnlinePBX недоступной или дождись её истечения.
4. Обнови страницу и снова воспроизведи запись целиком.</t>
        </is>
      </c>
      <c r="F26" s="16" t="inlineStr">
        <is>
          <t>Critical</t>
        </is>
      </c>
      <c r="G26" s="16" t="inlineStr">
        <is>
          <t>Граничный</t>
        </is>
      </c>
      <c r="H26" s="16" t="inlineStr">
        <is>
          <t>UI+API</t>
        </is>
      </c>
      <c r="I26" s="14" t="inlineStr">
        <is>
          <t>Второе воспроизведение работает из стабильной копии Operator AI. Аудио относится к тому же звонку, не обрезано и не заменено записью другого РОП.</t>
        </is>
      </c>
      <c r="J26" s="14" t="inlineStr"/>
      <c r="K26" s="16" t="inlineStr">
        <is>
          <t>Not Run</t>
        </is>
      </c>
      <c r="L26" s="16" t="inlineStr">
        <is>
          <t>—</t>
        </is>
      </c>
    </row>
    <row r="27" ht="83.19999999999999" customHeight="1">
      <c r="A27" s="16" t="inlineStr">
        <is>
          <t>TC-225</t>
        </is>
      </c>
      <c r="B27" s="14" t="inlineStr">
        <is>
          <t>Неотвеченный звонок не скачивает аудио и не запускает AI</t>
        </is>
      </c>
      <c r="C27" s="14" t="inlineStr">
        <is>
          <t>При нулевом времени разговора записи для анализа нет. Вебхук может сохранить факт вызова, но не должен расходовать хранилище и Gemini.</t>
        </is>
      </c>
      <c r="D27" s="14" t="inlineStr">
        <is>
          <t>Внутренний номер принадлежит тестовому оператору. Подготовлен payload с `dialog_duration=0` и уникальным UUID.</t>
        </is>
      </c>
      <c r="E27" s="14" t="inlineStr">
        <is>
          <t>1. Отправь валидный вебхук неотвеченного звонка.
2. Открой список и карточку события, если оно показывается.
3. Проверь наличие аудио и транскрипции.
4. Проверь журнал обращений к хранилищу и Gemini по UUID.</t>
        </is>
      </c>
      <c r="F27" s="16" t="inlineStr">
        <is>
          <t>High</t>
        </is>
      </c>
      <c r="G27" s="16" t="inlineStr">
        <is>
          <t>Негативный</t>
        </is>
      </c>
      <c r="H27" s="16" t="inlineStr">
        <is>
          <t>UI+API</t>
        </is>
      </c>
      <c r="I27" s="14" t="inlineStr">
        <is>
          <t>Факт неотвеченного вызова может быть сохранён один раз, но аудио не скачивается, кнопка воспроизведения не выдаёт чужую запись, Gemini не вызывается.</t>
        </is>
      </c>
      <c r="J27" s="14" t="inlineStr"/>
      <c r="K27" s="16" t="inlineStr">
        <is>
          <t>Not Run</t>
        </is>
      </c>
      <c r="L27" s="16" t="inlineStr">
        <is>
          <t>—</t>
        </is>
      </c>
    </row>
    <row r="28" ht="83.19999999999999" customHeight="1">
      <c r="A28" s="16" t="inlineStr">
        <is>
          <t>TC-226</t>
        </is>
      </c>
      <c r="B28" s="14" t="inlineStr">
        <is>
          <t>Чужой внутренний номер не превращается в звонок оператора</t>
        </is>
      </c>
      <c r="C28" s="14" t="inlineStr">
        <is>
          <t>Общая телефония содержит номера не только операторов Operator AI. Звонок неизвестного внутреннего номера нельзя приписать случайному сотруднику или отправить в AI.</t>
        </is>
      </c>
      <c r="D28" s="14" t="inlineStr">
        <is>
          <t>Подготовлен внутренний номер, который существует в OnlinePBX, но не назначен ни одному оператору тестового РОП.</t>
        </is>
      </c>
      <c r="E28" s="14" t="inlineStr">
        <is>
          <t>1. Соверши или отправь отвеченный звонок с этим внутренним номером.
2. Дождись вебхука и фонового опроса истории.
3. Проверь списки всех операторов РОП.
4. Проверь общий список звонков РОП и журнал AI по UUID.</t>
        </is>
      </c>
      <c r="F28" s="16" t="inlineStr">
        <is>
          <t>Critical</t>
        </is>
      </c>
      <c r="G28" s="16" t="inlineStr">
        <is>
          <t>Негативный</t>
        </is>
      </c>
      <c r="H28" s="16" t="inlineStr">
        <is>
          <t>UI+API</t>
        </is>
      </c>
      <c r="I28" s="14" t="inlineStr">
        <is>
          <t>Звонок не приписан ни одному оператору, не попадает в их рабочие списки и не запускает AI. Повторный опрос истории не создаёт вторую запись.</t>
        </is>
      </c>
      <c r="J28" s="14" t="inlineStr"/>
      <c r="K28" s="16" t="inlineStr">
        <is>
          <t>Not Run</t>
        </is>
      </c>
      <c r="L28" s="16" t="inlineStr">
        <is>
          <t>—</t>
        </is>
      </c>
    </row>
  </sheetData>
  <autoFilter ref="A1:L28"/>
  <conditionalFormatting sqref="K2:K5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8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8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8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109.6" customHeight="1">
      <c r="A2" s="16" t="inlineStr">
        <is>
          <t>TC-227</t>
        </is>
      </c>
      <c r="B2" s="14" t="inlineStr">
        <is>
          <t>Супер-админ видит три фиксированных тарифа</t>
        </is>
      </c>
      <c r="C2" s="14" t="inlineStr">
        <is>
          <t>В системе предусмотрены ровно три плана. Проверяем редактор витрины и реальные названия элементов на странице.</t>
        </is>
      </c>
      <c r="D2" s="14" t="inlineStr">
        <is>
          <t>Выполнен вход под супер-админом. Тестовые тарифы не удалены из базы.</t>
        </is>
      </c>
      <c r="E2" s="14" t="inlineStr">
        <is>
          <t>1. В меню слева нажми «Тарифы».
2. Дождись загрузки страницы с заголовком «Тарифы».
3. Посчитай карточки.
4. Проверь у каждой карточки название, цену или «Договорная», список возможностей, метку «Активен»/«Скрыт» и кнопку «Редактировать».
5. В Postman запроси GET `{STAGE_API_URL}/v1/plans` и сравни коды трёх карточек.</t>
        </is>
      </c>
      <c r="F2" s="16" t="inlineStr">
        <is>
          <t>High</t>
        </is>
      </c>
      <c r="G2" s="16" t="inlineStr">
        <is>
          <t>Позитивный</t>
        </is>
      </c>
      <c r="H2" s="16" t="inlineStr">
        <is>
          <t>UI+API</t>
        </is>
      </c>
      <c r="I2" s="14" t="inlineStr">
        <is>
          <t>Открыт адрес `/dashboard/plans`. Показаны ровно три карточки; API подтверждает коды `taxlil_dashboard`, `taxlil_dashboard_auto_call`, `full_ai`. Пустой или четвёртой карточки нет, каждая доступна для редактирования.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96.39999999999999" customHeight="1">
      <c r="A3" s="16" t="inlineStr">
        <is>
          <t>TC-228</t>
        </is>
      </c>
      <c r="B3" s="14" t="inlineStr">
        <is>
          <t>Публичный API отдаёт три тарифа без авторизации</t>
        </is>
      </c>
      <c r="C3" s="14" t="inlineStr">
        <is>
          <t>Лендинг загружает витрину до входа пользователя, поэтому список планов является публичным, но не должен содержать внутренние или секретные данные.</t>
        </is>
      </c>
      <c r="D3" s="14" t="inlineStr">
        <is>
          <t>Известен {STAGE_API_URL}. Токен авторизации не используется.</t>
        </is>
      </c>
      <c r="E3" s="14" t="inlineStr">
        <is>
          <t>1. Открой терминал.
2. Выполни `curl -i {STAGE_API_URL}/v1/plans`.
3. Проверь код ответа и массив `items`.
4. Для каждого элемента проверь поля `code`, `name`, `price`, `description`, `features`, `is_active`, `sort`.
5. Проверь, что других полей с пользователями, ключами или оплатами нет.</t>
        </is>
      </c>
      <c r="F3" s="16" t="inlineStr">
        <is>
          <t>High</t>
        </is>
      </c>
      <c r="G3" s="16" t="inlineStr">
        <is>
          <t>Позитивный</t>
        </is>
      </c>
      <c r="H3" s="16" t="inlineStr">
        <is>
          <t>API</t>
        </is>
      </c>
      <c r="I3" s="14" t="inlineStr">
        <is>
          <t>Ответ 200 без токена. В `items` три уникальных допустимых кода, цена неотрицательная, возможности — список. Секретов и данных клиентов нет; порядок соответствует `sort`.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149.2" customHeight="1">
      <c r="A4" s="16" t="inlineStr">
        <is>
          <t>TC-229</t>
        </is>
      </c>
      <c r="B4" s="14" t="inlineStr">
        <is>
          <t>Редактирование тарифа обновляет админку и лендинг</t>
        </is>
      </c>
      <c r="C4" s="14" t="inlineStr">
        <is>
          <t>Супер-админ управляет именно витриной: названием, ценой, описанием, возможностями и видимостью. Проверяем полный путь до публичной страницы.</t>
        </is>
      </c>
      <c r="D4" s="14" t="inlineStr">
        <is>
          <t>Сохранены исходные значения тестового тарифа, чтобы вернуть их после проверки. Открыты админка и лендинг staging.</t>
        </is>
      </c>
      <c r="E4" s="14" t="inlineStr">
        <is>
          <t>1. В разделе «Тарифы» выбери карточку и нажми «Редактировать».
2. Измени «Название тарифа», «Цена (сум/мес) — 0 = „Договорная“» и «Краткое описание».
3. В поле «Возможности (каждую с новой строки)» введи три разные строки.
4. Оставь «Показывать на лендинге» включённым и нажми «Сохранить».
5. Дождись сообщения «Тариф сохранён».
6. Обнови админку и лендинг и найди этот тариф.
7. После проверки верни исходные значения.</t>
        </is>
      </c>
      <c r="F4" s="16" t="inlineStr">
        <is>
          <t>Critical</t>
        </is>
      </c>
      <c r="G4" s="16" t="inlineStr">
        <is>
          <t>Позитивный</t>
        </is>
      </c>
      <c r="H4" s="16" t="inlineStr">
        <is>
          <t>UI+API</t>
        </is>
      </c>
      <c r="I4" s="14" t="inlineStr">
        <is>
          <t>Все пять изменений сохраняются и после обновления совпадают в админке, публичном API и на лендинге. Код тарифа не изменился, другие тарифы не затронуты.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83.19999999999999" customHeight="1">
      <c r="A5" s="16" t="inlineStr">
        <is>
          <t>TC-230</t>
        </is>
      </c>
      <c r="B5" s="14" t="inlineStr">
        <is>
          <t>Цена 0 показывается как договорная</t>
        </is>
      </c>
      <c r="C5" s="14" t="inlineStr">
        <is>
          <t>Ноль имеет специальный смысл — цена определяется после разговора. Пользователь не должен видеть `0 сум/мес` как готовую стоимость.</t>
        </is>
      </c>
      <c r="D5" s="14" t="inlineStr">
        <is>
          <t>Сохранена исходная цена одного тестового тарифа.</t>
        </is>
      </c>
      <c r="E5" s="14" t="inlineStr">
        <is>
          <t>1. Открой редактирование тарифа.
2. Очисти поле цены либо введи `0`.
3. Нажми «Сохранить».
4. Проверь карточку в русской админке.
5. Проверь тот же тариф на узбекском лендинге.
6. Верни исходную цену.</t>
        </is>
      </c>
      <c r="F5" s="16" t="inlineStr">
        <is>
          <t>High</t>
        </is>
      </c>
      <c r="G5" s="16" t="inlineStr">
        <is>
          <t>Граничный</t>
        </is>
      </c>
      <c r="H5" s="16" t="inlineStr">
        <is>
          <t>UI</t>
        </is>
      </c>
      <c r="I5" s="14" t="inlineStr">
        <is>
          <t>Сохранение успешно. В админке написано «Договорная», на лендинге — `Kelishiladi`; приписки `/мес` или `/oy` рядом с нулём нет.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70" customHeight="1">
      <c r="A6" s="16" t="inlineStr">
        <is>
          <t>TC-231</t>
        </is>
      </c>
      <c r="B6" s="14" t="inlineStr">
        <is>
          <t>Положительная цена форматируется с валютой и периодом</t>
        </is>
      </c>
      <c r="C6" s="14" t="inlineStr">
        <is>
          <t>Большое число должно оставаться читаемым и одинаковым по смыслу в двух интерфейсах.</t>
        </is>
      </c>
      <c r="D6" s="14" t="inlineStr">
        <is>
          <t>Сохранена исходная цена тестового тарифа.</t>
        </is>
      </c>
      <c r="E6" s="14" t="inlineStr">
        <is>
          <t>1. Установи цену `1234567` и сохрани.
2. Проверь карточку в русской админке.
3. Проверь карточку на лендинге.
4. Обнови обе страницы и проверь ещё раз.
5. Верни исходную цену.</t>
        </is>
      </c>
      <c r="F6" s="16" t="inlineStr">
        <is>
          <t>Medium</t>
        </is>
      </c>
      <c r="G6" s="16" t="inlineStr">
        <is>
          <t>Граничный</t>
        </is>
      </c>
      <c r="H6" s="16" t="inlineStr">
        <is>
          <t>UI</t>
        </is>
      </c>
      <c r="I6" s="14" t="inlineStr">
        <is>
          <t>Цена показана с разделителями разрядов, валютой `сум`/`so'm` и периодом `/мес`/`/oy`. Значение не округлено и после обновления не меняется.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70" customHeight="1">
      <c r="A7" s="16" t="inlineStr">
        <is>
          <t>TC-232</t>
        </is>
      </c>
      <c r="B7" s="14" t="inlineStr">
        <is>
          <t>Пустое название тарифа не сохраняется</t>
        </is>
      </c>
      <c r="C7" s="14" t="inlineStr">
        <is>
          <t>Карточка без названия непонятна посетителю и не допускается сервером.</t>
        </is>
      </c>
      <c r="D7" s="14" t="inlineStr">
        <is>
          <t>Открыто окно редактирования любого тарифа.</t>
        </is>
      </c>
      <c r="E7" s="14" t="inlineStr">
        <is>
          <t>1. Удали весь текст из поля «Название тарифа».
2. Щёлкни вне поля.
3. Попробуй нажать «Сохранить».
4. Повтори, введя только пробелы.
5. Закрой окно и обнови страницу.</t>
        </is>
      </c>
      <c r="F7" s="16" t="inlineStr">
        <is>
          <t>High</t>
        </is>
      </c>
      <c r="G7" s="16" t="inlineStr">
        <is>
          <t>Негативный</t>
        </is>
      </c>
      <c r="H7" s="16" t="inlineStr">
        <is>
          <t>UI</t>
        </is>
      </c>
      <c r="I7" s="14" t="inlineStr">
        <is>
          <t>Показано «Nom majburiy» (название обязательно), кнопка сохранения неактивна. Старое название остаётся в карточке и публичном API.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83.19999999999999" customHeight="1">
      <c r="A8" s="16" t="inlineStr">
        <is>
          <t>TC-233</t>
        </is>
      </c>
      <c r="B8" s="14" t="inlineStr">
        <is>
          <t>Отрицательная цена отклоняется в интерфейсе и API</t>
        </is>
      </c>
      <c r="C8" s="14" t="inlineStr">
        <is>
          <t>Компания не может случайно опубликовать отрицательную стоимость. Проверяем обе ступени защиты — форму и сервер.</t>
        </is>
      </c>
      <c r="D8" s="14" t="inlineStr">
        <is>
          <t>Есть токен супер-админа и сохранены текущие значения тарифа.</t>
        </is>
      </c>
      <c r="E8" s="14" t="inlineStr">
        <is>
          <t>1. В форме редактирования введи цену `-1`.
2. Проверь подсказку и кнопку «Сохранить».
3. В Postman отправь PATCH `/v1/plans/full_ai` с корректными остальными полями и `price: -1`.
4. Проверь ответ.
5. Обнови карточку и публичный API.</t>
        </is>
      </c>
      <c r="F8" s="16" t="inlineStr">
        <is>
          <t>High</t>
        </is>
      </c>
      <c r="G8" s="16" t="inlineStr">
        <is>
          <t>Негативный</t>
        </is>
      </c>
      <c r="H8" s="16" t="inlineStr">
        <is>
          <t>UI+API</t>
        </is>
      </c>
      <c r="I8" s="14" t="inlineStr">
        <is>
          <t>Форма показывает `Narx manfiy bo'lmasin`, API возвращает 400/422. Отрицательная цена нигде не сохранена, прежние данные не изменились.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96.39999999999999" customHeight="1">
      <c r="A9" s="16" t="inlineStr">
        <is>
          <t>TC-234</t>
        </is>
      </c>
      <c r="B9" s="14" t="inlineStr">
        <is>
          <t>Пустые строки в списке возможностей очищаются</t>
        </is>
      </c>
      <c r="C9" s="14" t="inlineStr">
        <is>
          <t>Каждая возможность вводится с новой строки. Лишние пробелы и пустые строки не должны превращаться в пустые пункты на лендинге.</t>
        </is>
      </c>
      <c r="D9" s="14" t="inlineStr">
        <is>
          <t>Сохранён исходный список возможностей тестового тарифа.</t>
        </is>
      </c>
      <c r="E9" s="14" t="inlineStr">
        <is>
          <t>1. Открой редактирование.
2. В поле возможностей введи: пробелы, пустую строку, `  Первая  `, ещё пустую строку и `Вторая`.
3. Сохрани и обнови админку.
4. Обнови лендинг.
5. Посчитай видимые пункты и сравни их текст.
6. Верни исходный список.</t>
        </is>
      </c>
      <c r="F9" s="16" t="inlineStr">
        <is>
          <t>Medium</t>
        </is>
      </c>
      <c r="G9" s="16" t="inlineStr">
        <is>
          <t>Граничный</t>
        </is>
      </c>
      <c r="H9" s="16" t="inlineStr">
        <is>
          <t>UI</t>
        </is>
      </c>
      <c r="I9" s="14" t="inlineStr">
        <is>
          <t>Сохранены ровно два пункта: «Первая» и «Вторая», без внешних пробелов. Пустых маркеров или лишних вертикальных промежутков нет.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83.19999999999999" customHeight="1">
      <c r="A10" s="16" t="inlineStr">
        <is>
          <t>TC-235</t>
        </is>
      </c>
      <c r="B10" s="14" t="inlineStr">
        <is>
          <t>Тариф без возможностей показывается аккуратно</t>
        </is>
      </c>
      <c r="C10" s="14" t="inlineStr">
        <is>
          <t>Список возможностей может быть пустым. Админке нужна понятная заглушка, а лендинг не должен ломать карточку.</t>
        </is>
      </c>
      <c r="D10" s="14" t="inlineStr">
        <is>
          <t>Сохранён исходный список возможностей тестового тарифа.</t>
        </is>
      </c>
      <c r="E10" s="14" t="inlineStr">
        <is>
          <t>1. Очисти поле «Возможности (каждую с новой строки)».
2. Сохрани тариф.
3. Проверь карточку в админке.
4. Проверь карточку на лендинге на широком и узком экране.
5. Верни исходный список.</t>
        </is>
      </c>
      <c r="F10" s="16" t="inlineStr">
        <is>
          <t>Low</t>
        </is>
      </c>
      <c r="G10" s="16" t="inlineStr">
        <is>
          <t>Граничный</t>
        </is>
      </c>
      <c r="H10" s="16" t="inlineStr">
        <is>
          <t>UI</t>
        </is>
      </c>
      <c r="I10" s="14" t="inlineStr">
        <is>
          <t>Админка показывает «Возможности не указаны». На лендинге карточка остаётся целой, без слова `undefined`, пустых галочек и наложения кнопки.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83.19999999999999" customHeight="1">
      <c r="A11" s="16" t="inlineStr">
        <is>
          <t>TC-236</t>
        </is>
      </c>
      <c r="B11" s="14" t="inlineStr">
        <is>
          <t>Скрытый тариф исчезает с лендинга, но остаётся в редакторе</t>
        </is>
      </c>
      <c r="C11" s="14" t="inlineStr">
        <is>
          <t>Переключатель «Показывать на лендинге» управляет только публичной витриной. Супер-админ должен иметь возможность вернуть скрытый тариф.</t>
        </is>
      </c>
      <c r="D11" s="14" t="inlineStr">
        <is>
          <t>Все три тарифа активны. Сохранено состояние выбранного тестового тарифа.</t>
        </is>
      </c>
      <c r="E11" s="14" t="inlineStr">
        <is>
          <t>1. Открой редактирование выбранного тарифа.
2. Выключи «Показывать на лендинге» и нажми «Сохранить».
3. Обнови страницу «Тарифы».
4. Обнови лендинг и посчитай карточки.
5. Снова включи переключатель и обнови обе страницы.</t>
        </is>
      </c>
      <c r="F11" s="16" t="inlineStr">
        <is>
          <t>High</t>
        </is>
      </c>
      <c r="G11" s="16" t="inlineStr">
        <is>
          <t>Позитивный</t>
        </is>
      </c>
      <c r="H11" s="16" t="inlineStr">
        <is>
          <t>UI+API</t>
        </is>
      </c>
      <c r="I11" s="14" t="inlineStr">
        <is>
          <t>В админке карточка остаётся и получает метку «Скрыт». На лендинге её нет, остальные активные тарифы на месте. После включения карточка возвращается один раз.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96.39999999999999" customHeight="1">
      <c r="A12" s="16" t="inlineStr">
        <is>
          <t>TC-237</t>
        </is>
      </c>
      <c r="B12" s="14" t="inlineStr">
        <is>
          <t>Если скрыты все тарифы, лендинг не показывает устаревшую витрину</t>
        </is>
      </c>
      <c r="C12" s="14" t="inlineStr">
        <is>
          <t>Лендинг заменяет данные только когда API вернул непустой активный список. Это опасная граница: при нуле активных планов нельзя молча показать встроенные старые цены.</t>
        </is>
      </c>
      <c r="D12" s="14" t="inlineStr">
        <is>
          <t>Сохранены исходные состояния всех тарифов. Проверка согласована, потому что временно скрывает витрину только на staging.</t>
        </is>
      </c>
      <c r="E12" s="14" t="inlineStr">
        <is>
          <t>1. По очереди выключи «Показывать на лендинге» у всех трёх тарифов.
2. Убедись в админке, что все три имеют метку «Скрыт».
3. Открой лендинг в новом приватном окне и перейди к разделу `Tariflar`.
4. Проверь, какие карточки показаны.
5. Верни исходные состояния всех тарифов.</t>
        </is>
      </c>
      <c r="F12" s="16" t="inlineStr">
        <is>
          <t>High</t>
        </is>
      </c>
      <c r="G12" s="16" t="inlineStr">
        <is>
          <t>Граничный</t>
        </is>
      </c>
      <c r="H12" s="16" t="inlineStr">
        <is>
          <t>UI</t>
        </is>
      </c>
      <c r="I12" s="14" t="inlineStr">
        <is>
          <t>Лендинг честно показывает пустое состояние или скрывает раздел, но не подставляет встроенные тарифы как будто они активны. Если появились три резервные карточки — это дефект ложной витрины.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96.39999999999999" customHeight="1">
      <c r="A13" s="16" t="inlineStr">
        <is>
          <t>TC-238</t>
        </is>
      </c>
      <c r="B13" s="14" t="inlineStr">
        <is>
          <t>Недоступность API тарифов оставляет понятное резервное состояние</t>
        </is>
      </c>
      <c r="C13" s="14" t="inlineStr">
        <is>
          <t>В коде лендинга есть три встроенные резервные карточки. Проверяем, что при временной ошибке посетитель видит целую страницу, а данные не выглядят как подтверждённые цены.</t>
        </is>
      </c>
      <c r="D13" s="14" t="inlineStr">
        <is>
          <t>На staging можно временно заблокировать только GET `/v1/plans` в браузере. Реальные значения тарифов записаны для сравнения.</t>
        </is>
      </c>
      <c r="E13" s="14" t="inlineStr">
        <is>
          <t>1. Заблокируй запрос `/v1/plans` и открой лендинг в новом окне.
2. Перейди к разделу `Tariflar`.
3. Проверь три резервные карточки и отсутствие технической ошибки.
4. Сравни их с текущими данными админки.
5. Верни запрос и обнови страницу.</t>
        </is>
      </c>
      <c r="F13" s="16" t="inlineStr">
        <is>
          <t>Medium</t>
        </is>
      </c>
      <c r="G13" s="16" t="inlineStr">
        <is>
          <t>Негативный</t>
        </is>
      </c>
      <c r="H13" s="16" t="inlineStr">
        <is>
          <t>UI+API</t>
        </is>
      </c>
      <c r="I13" s="14" t="inlineStr">
        <is>
          <t>Страница не пустая и не падает. Резервные карточки показывают `Kelishiladi`, не выдают старое число за актуальную цену. После восстановления появляются реальные активные данные без ручной очистки браузера.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83.19999999999999" customHeight="1">
      <c r="A14" s="16" t="inlineStr">
        <is>
          <t>TC-239</t>
        </is>
      </c>
      <c r="B14" s="14" t="inlineStr">
        <is>
          <t>Двойное нажатие «Сохранить» не дублирует тариф</t>
        </is>
      </c>
      <c r="C14" s="14" t="inlineStr">
        <is>
          <t>Во время отправки кнопка должна блокироваться. Повторный запрос не создаёт четвёртую карточку и не меняет код плана.</t>
        </is>
      </c>
      <c r="D14" s="14" t="inlineStr">
        <is>
          <t>Открыто редактирование тестового тарифа, исходные значения сохранены.</t>
        </is>
      </c>
      <c r="E14" s="14" t="inlineStr">
        <is>
          <t>1. Измени краткое описание.
2. Быстро дважды нажми «Сохранить».
3. Дождись сообщения и обнови страницу.
4. Запроси публичный список через API.
5. Посчитай элементы с кодом изменённого тарифа.
6. Верни исходное описание.</t>
        </is>
      </c>
      <c r="F14" s="16" t="inlineStr">
        <is>
          <t>Medium</t>
        </is>
      </c>
      <c r="G14" s="16" t="inlineStr">
        <is>
          <t>Негативный</t>
        </is>
      </c>
      <c r="H14" s="16" t="inlineStr">
        <is>
          <t>UI+API</t>
        </is>
      </c>
      <c r="I14" s="14" t="inlineStr">
        <is>
          <t>Во время запроса кнопка показывает «Сохранение…» и не принимает второй щелчок. Сохранён один результат, в API один элемент с этим кодом и всего три плана.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96.39999999999999" customHeight="1">
      <c r="A15" s="16" t="inlineStr">
        <is>
          <t>TC-240</t>
        </is>
      </c>
      <c r="B15" s="14" t="inlineStr">
        <is>
          <t>Потеря сети при сохранении не показывает ложный успех</t>
        </is>
      </c>
      <c r="C15" s="14" t="inlineStr">
        <is>
          <t>Изменения нельзя считать сохранёнными, если ответ не пришёл. Пользователь должен увидеть ошибку и иметь возможность безопасно повторить.</t>
        </is>
      </c>
      <c r="D15" s="14" t="inlineStr">
        <is>
          <t>Открыта форма тарифа. Инструменты браузера позволяют включить Offline. Исходные значения записаны.</t>
        </is>
      </c>
      <c r="E15" s="14" t="inlineStr">
        <is>
          <t>1. Измени название, цену и две возможности.
2. Нажми «Сохранить» и сразу включи Offline.
3. Верни сеть и посмотри сообщение.
4. Обнови страницу и сравни фактические значения.
5. Если изменения не сохранились, введи их снова и сохрани один раз.
6. Верни исходные данные.</t>
        </is>
      </c>
      <c r="F15" s="16" t="inlineStr">
        <is>
          <t>High</t>
        </is>
      </c>
      <c r="G15" s="16" t="inlineStr">
        <is>
          <t>Негативный</t>
        </is>
      </c>
      <c r="H15" s="16" t="inlineStr">
        <is>
          <t>UI</t>
        </is>
      </c>
      <c r="I15" s="14" t="inlineStr">
        <is>
          <t>При отказе показана ошибка, не «Тариф сохранён». После обновления виден реальный результат; повтор не создаёт дубль и не смешивает старые и новые поля.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83.19999999999999" customHeight="1">
      <c r="A16" s="16" t="inlineStr">
        <is>
          <t>TC-241</t>
        </is>
      </c>
      <c r="B16" s="14" t="inlineStr">
        <is>
          <t>РОП и оператор не изменяют тариф через API</t>
        </is>
      </c>
      <c r="C16" s="14" t="inlineStr">
        <is>
          <t>Редактировать коммерческую витрину может только супер-админ. Проверяем серверную защиту, а не только отсутствие пункта меню.</t>
        </is>
      </c>
      <c r="D16" s="14" t="inlineStr">
        <is>
          <t>Есть токены РОП и оператора. Записаны текущие данные `full_ai`.</t>
        </is>
      </c>
      <c r="E16" s="14" t="inlineStr">
        <is>
          <t>1. С токеном РОП отправь PATCH `/v1/plans/full_ai` с другим названием и корректными остальными полями.
2. Запиши код ответа.
3. Повтори запрос с токеном оператора.
4. Без токена повтори PATCH.
5. Запроси публичный список и проверь `full_ai`.</t>
        </is>
      </c>
      <c r="F16" s="16" t="inlineStr">
        <is>
          <t>Critical</t>
        </is>
      </c>
      <c r="G16" s="16" t="inlineStr">
        <is>
          <t>Негативный</t>
        </is>
      </c>
      <c r="H16" s="16" t="inlineStr">
        <is>
          <t>API</t>
        </is>
      </c>
      <c r="I16" s="14" t="inlineStr">
        <is>
          <t>РОП и оператор получают 403, запрос без токена — 401. Данные `full_ai` не изменились. Публичный GET при этом остаётся доступен.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83.19999999999999" customHeight="1">
      <c r="A17" s="16" t="inlineStr">
        <is>
          <t>TC-242</t>
        </is>
      </c>
      <c r="B17" s="14" t="inlineStr">
        <is>
          <t>Неизвестный код тарифа не создаёт четвёртый план</t>
        </is>
      </c>
      <c r="C17" s="14" t="inlineStr">
        <is>
          <t>Допустимы только три фиксированных кода. Нельзя через адрес запроса создать `premium`, опечатку или пустой план.</t>
        </is>
      </c>
      <c r="D17" s="14" t="inlineStr">
        <is>
          <t>Есть токен супер-админа и подготовлен корректный JSON тарифа.</t>
        </is>
      </c>
      <c r="E17" s="14" t="inlineStr">
        <is>
          <t>1. Отправь PATCH `/v1/plans/premium` с корректным JSON.
2. Отправь PATCH `/v1/plans/FULL_AI`.
3. Отправь PATCH `/v1/plans/%20`.
4. После каждого запроса проверь код.
5. Запроси GET `/v1/plans` и посчитай элементы.</t>
        </is>
      </c>
      <c r="F17" s="16" t="inlineStr">
        <is>
          <t>High</t>
        </is>
      </c>
      <c r="G17" s="16" t="inlineStr">
        <is>
          <t>Негативный</t>
        </is>
      </c>
      <c r="H17" s="16" t="inlineStr">
        <is>
          <t>API</t>
        </is>
      </c>
      <c r="I17" s="14" t="inlineStr">
        <is>
          <t>Каждый PATCH отклонён с 400/422/404. В публичном списке по-прежнему ровно три допустимых кода; четвёртая строка не создана.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83.19999999999999" customHeight="1">
      <c r="A18" s="16" t="inlineStr">
        <is>
          <t>TC-243</t>
        </is>
      </c>
      <c r="B18" s="14" t="inlineStr">
        <is>
          <t>Код тарифа нельзя изменить или удалить из интерфейса</t>
        </is>
      </c>
      <c r="C18" s="14" t="inlineStr">
        <is>
          <t>Супер-админ редактирует только оформление плана. Код связывает лендинг, заявки и РОП, поэтому остаётся неизменным.</t>
        </is>
      </c>
      <c r="D18" s="14" t="inlineStr">
        <is>
          <t>Выполнен вход под супер-админом, открыт раздел «Тарифы».</t>
        </is>
      </c>
      <c r="E18" s="14" t="inlineStr">
        <is>
          <t>1. Открой редактирование каждого тарифа.
2. Проверь список доступных полей.
3. Поищи кнопки «Создать тариф», «Удалить тариф» и поле кода.
4. Измени название одного тарифа и сохрани.
5. Запроси публичный API и сравни его код до и после.</t>
        </is>
      </c>
      <c r="F18" s="16" t="inlineStr">
        <is>
          <t>High</t>
        </is>
      </c>
      <c r="G18" s="16" t="inlineStr">
        <is>
          <t>Негативный</t>
        </is>
      </c>
      <c r="H18" s="16" t="inlineStr">
        <is>
          <t>UI</t>
        </is>
      </c>
      <c r="I18" s="14" t="inlineStr">
        <is>
          <t>Поля кода и действий создания/удаления нет. Изменение названия не меняет код; связанный тариф остаётся тем же.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109.6" customHeight="1">
      <c r="A19" s="16" t="inlineStr">
        <is>
          <t>TC-244</t>
        </is>
      </c>
      <c r="B19" s="14" t="inlineStr">
        <is>
          <t>Тариф в демо-заявке можно не выбирать</t>
        </is>
      </c>
      <c r="C19" s="14" t="inlineStr">
        <is>
          <t>Посетитель может ещё не знать подходящий план. Значение `Hozircha bilmayman` должно создать заявку без искусственного тарифа.</t>
        </is>
      </c>
      <c r="D19" s="14" t="inlineStr">
        <is>
          <t>Открыт лендинг staging. Подготовлены уникальные тестовые имя, телефон и компания.</t>
        </is>
      </c>
      <c r="E19" s="14" t="inlineStr">
        <is>
          <t>1. Перейди к форме Demo.
2. Заполни обязательные поля.
3. В списке `Qaysi tarif qiziqtiradi?` оставь `Hozircha bilmayman`.
4. Нажми `Demo so'rash` один раз.
5. Под супер-админом открой новую заявку в разделе «Лиды».
6. Проверь строку «Выбранный тариф».</t>
        </is>
      </c>
      <c r="F19" s="16" t="inlineStr">
        <is>
          <t>High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Заявка принята один раз, показано `So'rov qabul qilindi`. В карточке стоит «Не выбрано», а не первый тариф и не пустое техническое значение.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83.19999999999999" customHeight="1">
      <c r="A20" s="16" t="inlineStr">
        <is>
          <t>TC-245</t>
        </is>
      </c>
      <c r="B20" s="14" t="inlineStr">
        <is>
          <t>Каждый допустимый тариф сохраняется в демо-заявке</t>
        </is>
      </c>
      <c r="C20" s="14" t="inlineStr">
        <is>
          <t>Строковые значения лендинга и сервера должны совпадать точно. Проверяем все три варианта, потому что опечатка потеряет коммерческий выбор посетителя.</t>
        </is>
      </c>
      <c r="D20" s="14" t="inlineStr">
        <is>
          <t>Подготовлены три уникальных тестовых телефона.</t>
        </is>
      </c>
      <c r="E20" s="14" t="inlineStr">
        <is>
          <t>1. Создай заявку с `Tahlil — qo'ng'iroq nazorati`.
2. Создай вторую с `Tahlil + Avto-qo'ng'iroq`.
3. Создай третью с `Full AI — to'liq avtomatlashtirish`.
4. Открой три карточки в разделе «Лиды».
5. Сравни «Выбранный тариф» с выбором каждой формы.</t>
        </is>
      </c>
      <c r="F20" s="16" t="inlineStr">
        <is>
          <t>Critical</t>
        </is>
      </c>
      <c r="G20" s="16" t="inlineStr">
        <is>
          <t>Позитивный</t>
        </is>
      </c>
      <c r="H20" s="16" t="inlineStr">
        <is>
          <t>UI+API</t>
        </is>
      </c>
      <c r="I20" s="14" t="inlineStr">
        <is>
          <t>Все три заявки приняты и показывают соответственно «Анализ», «Анализ + Автозвонок» и «Full AI». Значения не перепутаны и не заменены на «Не выбрано».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83.19999999999999" customHeight="1">
      <c r="A21" s="16" t="inlineStr">
        <is>
          <t>TC-246</t>
        </is>
      </c>
      <c r="B21" s="14" t="inlineStr">
        <is>
          <t>Неизвестный тариф в заявке отклоняется сервером</t>
        </is>
      </c>
      <c r="C21" s="14" t="inlineStr">
        <is>
          <t>Посетитель может изменить запрос вручную. Сервер обязан принять только три договорённых значения, независимо от списка на странице.</t>
        </is>
      </c>
      <c r="D21" s="14" t="inlineStr">
        <is>
          <t>Известен публичный endpoint демо-заявки из .env. Подготовлен безопасный JSON с уникальным телефоном и `tarif: premium`.</t>
        </is>
      </c>
      <c r="E21" s="14" t="inlineStr">
        <is>
          <t>1. В Postman отправь демо-заявку с допустимыми именем, телефоном, компанией и CRM.
2. Укажи `tarif` равным `premium`.
3. Проверь код и текст ответа.
4. Под супер-админом поищи заявку по уникальному телефону.</t>
        </is>
      </c>
      <c r="F21" s="16" t="inlineStr">
        <is>
          <t>High</t>
        </is>
      </c>
      <c r="G21" s="16" t="inlineStr">
        <is>
          <t>Негативный</t>
        </is>
      </c>
      <c r="H21" s="16" t="inlineStr">
        <is>
          <t>API</t>
        </is>
      </c>
      <c r="I21" s="14" t="inlineStr">
        <is>
          <t>Сервер возвращает 400/422 и не создаёт заявку. Неизвестное значение не сохраняется как свободный текст и не превращается молча в другой тариф.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83.19999999999999" customHeight="1">
      <c r="A22" s="16" t="inlineStr">
        <is>
          <t>TC-247</t>
        </is>
      </c>
      <c r="B22" s="14" t="inlineStr">
        <is>
          <t>Выбранный тариф сохраняется при создании РОП</t>
        </is>
      </c>
      <c r="C22" s="14" t="inlineStr">
        <is>
          <t>Супер-админ назначает тариф при создании компании. Проверяем связь нового РОП с точным кодом плана.</t>
        </is>
      </c>
      <c r="D22" s="14" t="inlineStr">
        <is>
          <t>Подготовлены уникальные данные нового тестового РОП. Выполнен вход под супер-админом.</t>
        </is>
      </c>
      <c r="E22" s="14" t="inlineStr">
        <is>
          <t>1. Открой «РОПы» и нажми «Новый РОП».
2. Заполни обязательные поля.
3. В поле «Тариф» выбери «Аналитика + Авто-звонок».
4. Нажми «Создать».
5. Открой созданного РОП и запроси его карточку через API.</t>
        </is>
      </c>
      <c r="F22" s="16" t="inlineStr">
        <is>
          <t>Critical</t>
        </is>
      </c>
      <c r="G22" s="16" t="inlineStr">
        <is>
          <t>Позитивный</t>
        </is>
      </c>
      <c r="H22" s="16" t="inlineStr">
        <is>
          <t>UI+API</t>
        </is>
      </c>
      <c r="I22" s="14" t="inlineStr">
        <is>
          <t>РОП создан один раз. В ответе его тариф равен `taxlil_dashboard_auto_call`; выбор не потерян и не заменён на `full_ai` или пустое значение.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96.39999999999999" customHeight="1">
      <c r="A23" s="16" t="inlineStr">
        <is>
          <t>TC-248</t>
        </is>
      </c>
      <c r="B23" s="14" t="inlineStr">
        <is>
          <t>Тариф заявки заранее выбран при создании РОП из лида</t>
        </is>
      </c>
      <c r="C23" s="14" t="inlineStr">
        <is>
          <t>Выбор посетителя должен пройти весь путь: лендинг → карточка заявки → форма создания РОП → новый аккаунт и отметка конвертации.</t>
        </is>
      </c>
      <c r="D23" s="14" t="inlineStr">
        <is>
          <t>Есть новая демо-заявка с тарифом Full AI и уникальными данными, РОП из неё ещё не создан.</t>
        </is>
      </c>
      <c r="E23" s="14" t="inlineStr">
        <is>
          <t>1. Под супер-админом открой карточку заявки.
2. Нажми «Создать РОП из лида».
3. Проверь, что в поле «Тариф» заранее выбран «Full AI».
4. Добавь уникальные логин и пароль, затем нажми «Создать РОП».
5. Проверь нового РОП и карточку заявки.</t>
        </is>
      </c>
      <c r="F23" s="16" t="inlineStr">
        <is>
          <t>Critical</t>
        </is>
      </c>
      <c r="G23" s="16" t="inlineStr">
        <is>
          <t>Позитивный</t>
        </is>
      </c>
      <c r="H23" s="16" t="inlineStr">
        <is>
          <t>UI+API</t>
        </is>
      </c>
      <c r="I23" s="14" t="inlineStr">
        <is>
          <t>Созданный РОП имеет `full_ai`, заявка получает время конвертации и сообщение «РОП уже создан из этого лида». Повтор не создаёт второго РОП.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136" customHeight="1">
      <c r="A24" s="16" t="inlineStr">
        <is>
          <t>TC-249</t>
        </is>
      </c>
      <c r="B24" s="14" t="inlineStr">
        <is>
          <t>Тариф «Аналитика» не открывает автообзвон и AI</t>
        </is>
      </c>
      <c r="C24" s="14" t="inlineStr">
        <is>
          <t>Команда подтвердила, что тарифы ограничивают функции. Рабочая матрица Q-12: базовый план даёт аналитику, но не автообзвон и не AI. В текущем коде явные проверки не найдены, поэтому кейс может выявить расхождение версии или реализации.</t>
        </is>
      </c>
      <c r="D24" s="14" t="inlineStr">
        <is>
          <t>Есть отдельный тестовый РОП с тарифом `taxlil_dashboard`, оператор и тестовый лид. На staging включены модули аналитики, обзвона и AI.</t>
        </is>
      </c>
      <c r="E24" s="14" t="inlineStr">
        <is>
          <t>1. Войди под РОП и оператором этой компании и проверь доступ к аналитике/истории звонков.
2. Проверь наличие кнопок и страниц автообзвона.
3. С токеном оператора запроси GET `/v1/calling/next` — это прямой запуск получения следующего лида, минуя скрытые кнопки.
4. Создай отвеченный тестовый звонок и проверь запуск AI-анализа.
5. С тем же токеном попробуй POST `/v1/amocrm/deals/{id}/analyze` для тестового лида.</t>
        </is>
      </c>
      <c r="F24" s="16" t="inlineStr">
        <is>
          <t>Critical</t>
        </is>
      </c>
      <c r="G24" s="16" t="inlineStr">
        <is>
          <t>Негативный</t>
        </is>
      </c>
      <c r="H24" s="16" t="inlineStr">
        <is>
          <t>UI+API</t>
        </is>
      </c>
      <c r="I24" s="14" t="inlineStr">
        <is>
          <t>Аналитика доступна. Автообзвон и AI скрыты в интерфейсе, а прямые API-запросы отклоняются понятным сообщением о тарифе. Если всё доступно — сначала подтвердить матрицу с командой по Q-12, затем заводить дефект.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96.39999999999999" customHeight="1">
      <c r="A25" s="16" t="inlineStr">
        <is>
          <t>TC-250</t>
        </is>
      </c>
      <c r="B25" s="14" t="inlineStr">
        <is>
          <t>Тариф «Аналитика + Авто-звонок» не открывает AI</t>
        </is>
      </c>
      <c r="C25" s="14" t="inlineStr">
        <is>
          <t>Средний тариф по рабочей матрице даёт аналитику и автообзвон, но не полный AI-анализ звонков.</t>
        </is>
      </c>
      <c r="D25" s="14" t="inlineStr">
        <is>
          <t>Есть отдельный РОП с `taxlil_dashboard_auto_call`, оператор, лид и отвеченная запись звонка.</t>
        </is>
      </c>
      <c r="E25" s="14" t="inlineStr">
        <is>
          <t>1. Войди под РОП и проверь аналитику.
2. Войди под оператором и пройди начало цикла автообзвона до тестового звонка.
3. Дождись появления отвеченной записи.
4. Проверь, запускается ли AI через интерфейс.
5. С токеном оператора попробуй POST `/v1/amocrm/deals/{id}/analyze` для тестового лида.</t>
        </is>
      </c>
      <c r="F25" s="16" t="inlineStr">
        <is>
          <t>Critical</t>
        </is>
      </c>
      <c r="G25" s="16" t="inlineStr">
        <is>
          <t>Негативный</t>
        </is>
      </c>
      <c r="H25" s="16" t="inlineStr">
        <is>
          <t>UI+API</t>
        </is>
      </c>
      <c r="I25" s="14" t="inlineStr">
        <is>
          <t>Аналитика и автообзвон доступны. AI-функции скрыты и защищены на сервере. Прямой запрос не обходит тариф; расхождение сначала сверяется с командой по Q-12.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  <row r="26" ht="83.19999999999999" customHeight="1">
      <c r="A26" s="16" t="inlineStr">
        <is>
          <t>TC-251</t>
        </is>
      </c>
      <c r="B26" s="14" t="inlineStr">
        <is>
          <t>Тариф Full AI открывает все три группы функций</t>
        </is>
      </c>
      <c r="C26" s="14" t="inlineStr">
        <is>
          <t>Верхний тариф должен позволять аналитику, автообзвон и AI-анализ без ложного запрета тарифа.</t>
        </is>
      </c>
      <c r="D26" s="14" t="inlineStr">
        <is>
          <t>Есть отдельный РОП с `full_ai`, оператор, тестовый лид, рабочие OnlinePBX, AmoCRM и Gemini.</t>
        </is>
      </c>
      <c r="E26" s="14" t="inlineStr">
        <is>
          <t>1. Под РОП открой аналитику и историю звонков.
2. Под оператором запусти тестовый автообзвон.
3. Заверши отвеченный звонок и дождись AI-анализа.
4. Подтверди результат только на тестовой сделке.
5. Проверь, что ни один запрос не отклонён из-за тарифа.</t>
        </is>
      </c>
      <c r="F26" s="16" t="inlineStr">
        <is>
          <t>Critical</t>
        </is>
      </c>
      <c r="G26" s="16" t="inlineStr">
        <is>
          <t>Позитивный</t>
        </is>
      </c>
      <c r="H26" s="16" t="inlineStr">
        <is>
          <t>UI+API</t>
        </is>
      </c>
      <c r="I26" s="14" t="inlineStr">
        <is>
          <t>Все три группы функций доступны и проходят полный тестовый путь. Ограничение тарифа не блокирует законные действия Full AI.</t>
        </is>
      </c>
      <c r="J26" s="14" t="inlineStr"/>
      <c r="K26" s="16" t="inlineStr">
        <is>
          <t>Not Run</t>
        </is>
      </c>
      <c r="L26" s="16" t="inlineStr">
        <is>
          <t>—</t>
        </is>
      </c>
    </row>
    <row r="27" ht="122.8" customHeight="1">
      <c r="A27" s="16" t="inlineStr">
        <is>
          <t>TC-252</t>
        </is>
      </c>
      <c r="B27" s="14" t="inlineStr">
        <is>
          <t>Длинный текст и HTML в тарифе не ломают витрину</t>
        </is>
      </c>
      <c r="C27" s="14" t="inlineStr">
        <is>
          <t>Описание и возможности хранятся как текст без явного ограничения длины. Проверяем длинное содержимое и строку, похожую на код страницы, без выполнения кода.</t>
        </is>
      </c>
      <c r="D27" s="14" t="inlineStr">
        <is>
          <t>Сохранены исходные значения тестового тарифа. Подготовлен текст на 5000 символов и строка `&lt;img src=x onerror=alert(1)&gt;`.</t>
        </is>
      </c>
      <c r="E27" s="14" t="inlineStr">
        <is>
          <t>1. Вставь длинный текст в «Краткое описание».
2. Добавь строку, похожую на HTML, как отдельную возможность.
3. Сохрани и обнови админку.
4. Открой лендинг и проверь карточку на широком и мобильном размере.
5. Убедись, что никаких окон или загрузки постороннего изображения не произошло.
6. Верни исходные значения.</t>
        </is>
      </c>
      <c r="F27" s="16" t="inlineStr">
        <is>
          <t>High</t>
        </is>
      </c>
      <c r="G27" s="16" t="inlineStr">
        <is>
          <t>Граничный</t>
        </is>
      </c>
      <c r="H27" s="16" t="inlineStr">
        <is>
          <t>UI</t>
        </is>
      </c>
      <c r="I27" s="14" t="inlineStr">
        <is>
          <t>Текст показывается как обычный безопасный текст, код не выполняется. Карточка не перекрывает соседние элементы; если лимит превышен, показана понятная ошибка до сохранения, а старые данные не потеряны.</t>
        </is>
      </c>
      <c r="J27" s="14" t="inlineStr"/>
      <c r="K27" s="16" t="inlineStr">
        <is>
          <t>Not Run</t>
        </is>
      </c>
      <c r="L27" s="16" t="inlineStr">
        <is>
          <t>—</t>
        </is>
      </c>
    </row>
  </sheetData>
  <autoFilter ref="A1:L27"/>
  <conditionalFormatting sqref="K2:K5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7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7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7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109.6" customHeight="1">
      <c r="A2" s="16" t="inlineStr">
        <is>
          <t>TC-253</t>
        </is>
      </c>
      <c r="B2" s="14" t="inlineStr">
        <is>
          <t>Первый запуск выбирает язык браузера из двух поддерживаемых</t>
        </is>
      </c>
      <c r="C2" s="14" t="inlineStr">
        <is>
          <t>При первом посещении сохранённого выбора ещё нет. Система читает язык браузера: русский или узбекский, а любой другой безопасно заменяет узбекским.</t>
        </is>
      </c>
      <c r="D2" s="14" t="inlineStr">
        <is>
          <t>Открыто новое приватное окно без записи `operator-ai-lang` в Local Storage. Можно временно менять предпочитаемый язык браузера.</t>
        </is>
      </c>
      <c r="E2" s="14" t="inlineStr">
        <is>
          <t>1. Установи русский первым языком браузера и открой страницу входа staging.
2. Запиши язык полей и кнопки входа.
3. Закрой приватное окно и открой новое без сохранённых данных.
4. Установи узбекский первым языком и снова открой страницу входа.
5. Повтори в новом окне с английским первым языком.</t>
        </is>
      </c>
      <c r="F2" s="16" t="inlineStr">
        <is>
          <t>High</t>
        </is>
      </c>
      <c r="G2" s="16" t="inlineStr">
        <is>
          <t>Граничный</t>
        </is>
      </c>
      <c r="H2" s="16" t="inlineStr">
        <is>
          <t>UI</t>
        </is>
      </c>
      <c r="I2" s="14" t="inlineStr">
        <is>
          <t>При русском браузере форма на русском, при узбекском — на узбекском. При английском используется безопасный язык по умолчанию — узбекский; страница не показывает пустые подписи или технические ключи.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109.6" customHeight="1">
      <c r="A3" s="16" t="inlineStr">
        <is>
          <t>TC-254</t>
        </is>
      </c>
      <c r="B3" s="14" t="inlineStr">
        <is>
          <t>Язык можно переключить на странице входа</t>
        </is>
      </c>
      <c r="C3" s="14" t="inlineStr">
        <is>
          <t>Переключатель доступен до авторизации, чтобы человек мог понять поля входа ещё до ввода логина и пароля.</t>
        </is>
      </c>
      <c r="D3" s="14" t="inlineStr">
        <is>
          <t>Открыта страница входа на узбекском, пользователь не авторизован.</t>
        </is>
      </c>
      <c r="E3" s="14" t="inlineStr">
        <is>
          <t>1. В правом верхнем углу нажми кнопку `uz` с подписью для выбора языка.
2. Проверь, что в меню есть `O'zbekcha` и «Русский», а текущий язык отмечен.
3. Нажми «Русский».
4. Проверь поля «Логин», «Пароль» и кнопку «Войти».
5. Снова открой меню, выбери `O'zbekcha` и проверь `Login`, `Parol`, `Kirish`.</t>
        </is>
      </c>
      <c r="F3" s="16" t="inlineStr">
        <is>
          <t>High</t>
        </is>
      </c>
      <c r="G3" s="16" t="inlineStr">
        <is>
          <t>Позитивный</t>
        </is>
      </c>
      <c r="H3" s="16" t="inlineStr">
        <is>
          <t>UI</t>
        </is>
      </c>
      <c r="I3" s="14" t="inlineStr">
        <is>
          <t>Текст меняется сразу, без перезагрузки и без потери введённых значений. В меню ровно два языка, выбранный вариант отмечен галочкой, код кнопки меняется между `ru` и `uz`.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96.39999999999999" customHeight="1">
      <c r="A4" s="16" t="inlineStr">
        <is>
          <t>TC-255</t>
        </is>
      </c>
      <c r="B4" s="14" t="inlineStr">
        <is>
          <t>Переключение языка обновляет открытый кабинет без перезагрузки</t>
        </is>
      </c>
      <c r="C4" s="14" t="inlineStr">
        <is>
          <t>Меню, заголовок страницы, таблица и кнопки должны переключаться одновременно. Смешанный интерфейс особенно непонятен новичку.</t>
        </is>
      </c>
      <c r="D4" s="14" t="inlineStr">
        <is>
          <t>Выполнен вход под РОП, кабинет открыт на узбекском.</t>
        </is>
      </c>
      <c r="E4" s="14" t="inlineStr">
        <is>
          <t>1. Открой раздел «Операторы» на узбекском и запомни заголовки меню и таблицы.
2. Нажми `uz` и выбери «Русский».
3. Не обновляя страницу, проверь боковое меню, заголовок, столбцы таблицы и кнопки.
4. Открой карточку оператора и одно диалоговое окно.
5. Верни `O'zbekcha` и снова проверь те же места.</t>
        </is>
      </c>
      <c r="F4" s="16" t="inlineStr">
        <is>
          <t>High</t>
        </is>
      </c>
      <c r="G4" s="16" t="inlineStr">
        <is>
          <t>Позитивный</t>
        </is>
      </c>
      <c r="H4" s="16" t="inlineStr">
        <is>
          <t>UI</t>
        </is>
      </c>
      <c r="I4" s="14" t="inlineStr">
        <is>
          <t>Все элементы, подключённые к переводу, меняются сразу. Данные оператора, выбранная строка и открытый раздел сохраняются; одновременно русских и узбекских служебных подписей на одном экране нет.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96.39999999999999" customHeight="1">
      <c r="A5" s="16" t="inlineStr">
        <is>
          <t>TC-256</t>
        </is>
      </c>
      <c r="B5" s="14" t="inlineStr">
        <is>
          <t>Выбранный язык сохраняется после обновления и нового входа</t>
        </is>
      </c>
      <c r="C5" s="14" t="inlineStr">
        <is>
          <t>Выбор хранится в браузере под ключом `operator-ai-lang`. Пользователь не должен переключать язык при каждом посещении.</t>
        </is>
      </c>
      <c r="D5" s="14" t="inlineStr">
        <is>
          <t>Кабинет открыт, выбран русский язык.</t>
        </is>
      </c>
      <c r="E5" s="14" t="inlineStr">
        <is>
          <t>1. Обнови страницу клавишей F5.
2. Перейди в другой раздел кабинета.
3. Выйди из аккаунта.
4. Закрой и снова открой вкладку с админкой.
5. Войди под той же ролью.
6. В инструментах браузера проверь значение `operator-ai-lang` в Local Storage.</t>
        </is>
      </c>
      <c r="F5" s="16" t="inlineStr">
        <is>
          <t>High</t>
        </is>
      </c>
      <c r="G5" s="16" t="inlineStr">
        <is>
          <t>Позитивный</t>
        </is>
      </c>
      <c r="H5" s="16" t="inlineStr">
        <is>
          <t>UI</t>
        </is>
      </c>
      <c r="I5" s="14" t="inlineStr">
        <is>
          <t>После всех действий остаётся русский язык, в Local Storage записано `ru`. После выбора узбекского там записывается `uz`; выход из аккаунта настройку не стирает.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83.19999999999999" customHeight="1">
      <c r="A6" s="16" t="inlineStr">
        <is>
          <t>TC-257</t>
        </is>
      </c>
      <c r="B6" s="14" t="inlineStr">
        <is>
          <t>Повреждённое значение языка не ломает страницу</t>
        </is>
      </c>
      <c r="C6" s="14" t="inlineStr">
        <is>
          <t>Запись в браузере можно изменить вручную. Значения `en`, пустая строка или длинный мусор не должны загружать несуществующий перевод.</t>
        </is>
      </c>
      <c r="D6" s="14" t="inlineStr">
        <is>
          <t>Пользователь вышел из системы. Открыты инструменты браузера и Local Storage.</t>
        </is>
      </c>
      <c r="E6" s="14" t="inlineStr">
        <is>
          <t>1. Запиши в `operator-ai-lang` значение `en` и обнови страницу.
2. Проверь форму и кнопку языка.
3. Повтори с пустой строкой.
4. Повтори со строкой из 5000 букв.
5. Через меню выбери «Русский».</t>
        </is>
      </c>
      <c r="F6" s="16" t="inlineStr">
        <is>
          <t>Medium</t>
        </is>
      </c>
      <c r="G6" s="16" t="inlineStr">
        <is>
          <t>Негативный</t>
        </is>
      </c>
      <c r="H6" s="16" t="inlineStr">
        <is>
          <t>UI</t>
        </is>
      </c>
      <c r="I6" s="14" t="inlineStr">
        <is>
          <t>Для неподдерживаемых значений включается узбекский язык по умолчанию; страница не падает и не показывает ключи. После обычного выбора сохраняется корректное `ru`, повреждённое значение заменено.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96.39999999999999" customHeight="1">
      <c r="A7" s="16" t="inlineStr">
        <is>
          <t>TC-258</t>
        </is>
      </c>
      <c r="B7" s="14" t="inlineStr">
        <is>
          <t>Меню каждой роли полностью переведено на ru и uz</t>
        </is>
      </c>
      <c r="C7" s="14" t="inlineStr">
        <is>
          <t>У супер-админа, РОП и оператора разные разделы. Проверяем оба языка для всей матрицы ролей, а не только один общий экран.</t>
        </is>
      </c>
      <c r="D7" s="14" t="inlineStr">
        <is>
          <t>Есть три тестовые учётные записи: супер-админ, РОП и оператор.</t>
        </is>
      </c>
      <c r="E7" s="14" t="inlineStr">
        <is>
          <t>1. Войди под супер-админом на русском и прочитай все пункты меню; переключи на узбекский.
2. Повтори под РОП.
3. Повтори под оператором.
4. На каждом языке открой поиск по меню и введи название доступного раздела.
5. Сравни найденный пункт с подписью в боковом меню.</t>
        </is>
      </c>
      <c r="F7" s="16" t="inlineStr">
        <is>
          <t>High</t>
        </is>
      </c>
      <c r="G7" s="16" t="inlineStr">
        <is>
          <t>Позитивный</t>
        </is>
      </c>
      <c r="H7" s="16" t="inlineStr">
        <is>
          <t>UI</t>
        </is>
      </c>
      <c r="I7" s="14" t="inlineStr">
        <is>
          <t>Каждой роли показан её полный набор разделов с согласованными переводами. Поиск находит пункт по текущему языку, старые названия после переключения не остаются.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96.39999999999999" customHeight="1">
      <c r="A8" s="16" t="inlineStr">
        <is>
          <t>TC-259</t>
        </is>
      </c>
      <c r="B8" s="14" t="inlineStr">
        <is>
          <t>Ошибки формы входа переводятся вместе с языком</t>
        </is>
      </c>
      <c r="C8" s="14" t="inlineStr">
        <is>
          <t>Подсказки обязательных полей должны быть понятны на выбранном языке, включая ошибку неверного логина или пароля.</t>
        </is>
      </c>
      <c r="D8" s="14" t="inlineStr">
        <is>
          <t>Открыта страница входа. Подготовлены заведомо неверные данные без реальных секретов.</t>
        </is>
      </c>
      <c r="E8" s="14" t="inlineStr">
        <is>
          <t>1. Выбери русский, оставь поля пустыми и попытайся отправить форму.
2. Введи неверные логин и пароль и нажми «Войти».
3. Не закрывая страницу, переключи язык на узбекский.
4. Повтори пустую форму и неверный вход.
5. Проверь, что ранее введённый пароль не появился открытым текстом.</t>
        </is>
      </c>
      <c r="F8" s="16" t="inlineStr">
        <is>
          <t>High</t>
        </is>
      </c>
      <c r="G8" s="16" t="inlineStr">
        <is>
          <t>Негативный</t>
        </is>
      </c>
      <c r="H8" s="16" t="inlineStr">
        <is>
          <t>UI</t>
        </is>
      </c>
      <c r="I8" s="14" t="inlineStr">
        <is>
          <t>Названия полей, клиентские подсказки и безопасное сообщение об отказе соответствуют текущему языку. Нет необработанного кода ошибки, JSON или смешения двух языков.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96.39999999999999" customHeight="1">
      <c r="A9" s="16" t="inlineStr">
        <is>
          <t>TC-260</t>
        </is>
      </c>
      <c r="B9" s="14" t="inlineStr">
        <is>
          <t>Подсказки форм пользователей соответствуют текущему языку</t>
        </is>
      </c>
      <c r="C9" s="14" t="inlineStr">
        <is>
          <t>Схемы проверки полей строятся заново для активного языка. Проверяем, что уже открытая форма не сохраняет сообщения на старом языке.</t>
        </is>
      </c>
      <c r="D9" s="14" t="inlineStr">
        <is>
          <t>Под супер-админом открыта пустая форма «Новый РОП» на узбекском.</t>
        </is>
      </c>
      <c r="E9" s="14" t="inlineStr">
        <is>
          <t>1. Коснись обязательных полей и вызови сообщения об ошибках.
2. Переключи язык на русский, не закрывая форму.
3. Снова коснись полей «Имя», «Фамилия», «Телефон», «Пароль», «Имя пользователя» и «Название компании».
4. Закрой форму, под РОП открой создание оператора и повтори проверку.</t>
        </is>
      </c>
      <c r="F9" s="16" t="inlineStr">
        <is>
          <t>High</t>
        </is>
      </c>
      <c r="G9" s="16" t="inlineStr">
        <is>
          <t>Граничный</t>
        </is>
      </c>
      <c r="H9" s="16" t="inlineStr">
        <is>
          <t>UI</t>
        </is>
      </c>
      <c r="I9" s="14" t="inlineStr">
        <is>
          <t>После переключения все новые и уже показанные подсказки отображаются на русском. После возврата на узбекский они снова узбекские; форма и введённые значения не сбрасываются.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96.39999999999999" customHeight="1">
      <c r="A10" s="16" t="inlineStr">
        <is>
          <t>TC-261</t>
        </is>
      </c>
      <c r="B10" s="14" t="inlineStr">
        <is>
          <t>Окно смены пароля полностью переводится</t>
        </is>
      </c>
      <c r="C10" s="14" t="inlineStr">
        <is>
          <t>В коде диалог смены пароля содержит захардкоженные узбекские надписи. Проверяем регрессию: русский пользователь не должен получать отдельное узбекское окно.</t>
        </is>
      </c>
      <c r="D10" s="14" t="inlineStr">
        <is>
          <t>Кабинет открыт на русском под любой активной ролью.</t>
        </is>
      </c>
      <c r="E10" s="14" t="inlineStr">
        <is>
          <t>1. Открой меню аккаунта.
2. Нажми действие смены пароля.
3. Проверь заголовок, названия трёх полей, подсказки, кнопки отмены и сохранения.
4. Введи несовпадающие новые пароли и прочитай ошибку.
5. Закрой окно без сохранения, переключи на узбекский и открой снова.</t>
        </is>
      </c>
      <c r="F10" s="16" t="inlineStr">
        <is>
          <t>High</t>
        </is>
      </c>
      <c r="G10" s="16" t="inlineStr">
        <is>
          <t>Негативный</t>
        </is>
      </c>
      <c r="H10" s="16" t="inlineStr">
        <is>
          <t>UI</t>
        </is>
      </c>
      <c r="I10" s="14" t="inlineStr">
        <is>
          <t>На русском весь диалог и ошибки русские, на узбекском — узбекские. Строки `Parolni o'zgartirish`, `Bekor qilish`, `Saqlash` не остаются в русском интерфейсе.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122.8" customHeight="1">
      <c r="A11" s="16" t="inlineStr">
        <is>
          <t>TC-262</t>
        </is>
      </c>
      <c r="B11" s="14" t="inlineStr">
        <is>
          <t>Цикл звонка и подтверждение результата полностью переводятся</t>
        </is>
      </c>
      <c r="C11" s="14" t="inlineStr">
        <is>
          <t>Это основной рабочий экран оператора. Проверяем статусы подготовки, звонка, ожидания AI, ручную форму и сообщения об ошибках на двух языках.</t>
        </is>
      </c>
      <c r="D11" s="14" t="inlineStr">
        <is>
          <t>Есть оператор с тестовым лидом и возможность пройти безопасный звонок либо использовать тестовый стаб стадий звонка.</t>
        </is>
      </c>
      <c r="E11" s="14" t="inlineStr">
        <is>
          <t>1. На русском открой «Режим звонков» и начни тестовый цикл.
2. На каждой стадии прочитай заголовок, подсказки, кнопки и таймер.
3. Открой форму подтверждения и вызови ошибку обязательного поля.
4. Переключи на узбекский до отправки результата.
5. Проверь те же элементы и закончи только тестовый сценарий.</t>
        </is>
      </c>
      <c r="F11" s="16" t="inlineStr">
        <is>
          <t>Critical</t>
        </is>
      </c>
      <c r="G11" s="16" t="inlineStr">
        <is>
          <t>Позитивный</t>
        </is>
      </c>
      <c r="H11" s="16" t="inlineStr">
        <is>
          <t>UI</t>
        </is>
      </c>
      <c r="I11" s="14" t="inlineStr">
        <is>
          <t>Все служебные тексты следуют текущему языку, данные лида и введённые значения не меняются. Названия бизнес-статусов AmoCRM остаются теми, что пришли из настроенной воронки, и не превращаются в другой статус.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149.2" customHeight="1">
      <c r="A12" s="16" t="inlineStr">
        <is>
          <t>TC-263</t>
        </is>
      </c>
      <c r="B12" s="14" t="inlineStr">
        <is>
          <t>Интеграции и тарифы не смешивают языки</t>
        </is>
      </c>
      <c r="C12" s="14" t="inlineStr">
        <is>
          <t>Новые экраны часто остаются частично непереведёнными. Проверяем OnlinePBX, AmoCRM и редактор тарифов на русском и узбекском.</t>
        </is>
      </c>
      <c r="D12" s="14" t="inlineStr">
        <is>
          <t>Выполнен вход под супер-админом. Есть тестовый РОП и доступ к разделу «Тарифы».</t>
        </is>
      </c>
      <c r="E12" s="14" t="inlineStr">
        <is>
          <t>1. На русском открой карточку РОП и окна подключения AmoCRM и OnlinePBX.
2. Проверь заголовки, подсказки обязательных полей, кнопки и сообщения успеха/ошибки.
3. Открой «Тарифы», редактирование карточки и проверь все подписи.
4. Переключи на узбекский и повтори без сохранения секретов.
5. Отдельно отметь технические названия `Domain`, `API key`, `Webhook token` — они могут оставаться терминами, но окружающее объяснение должно быть переведено.</t>
        </is>
      </c>
      <c r="F12" s="16" t="inlineStr">
        <is>
          <t>High</t>
        </is>
      </c>
      <c r="G12" s="16" t="inlineStr">
        <is>
          <t>Позитивный</t>
        </is>
      </c>
      <c r="H12" s="16" t="inlineStr">
        <is>
          <t>UI</t>
        </is>
      </c>
      <c r="I12" s="14" t="inlineStr">
        <is>
          <t>Окна и сообщения используют один выбранный язык. Технические названия не искажены, но действия и объяснения рядом с ними переведены; сырых ключей вида `plans.saved` нет.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96.39999999999999" customHeight="1">
      <c r="A13" s="16" t="inlineStr">
        <is>
          <t>TC-264</t>
        </is>
      </c>
      <c r="B13" s="14" t="inlineStr">
        <is>
          <t>«Рабочее время» и «Посещаемость» переводятся без потери данных</t>
        </is>
      </c>
      <c r="C13" s="14" t="inlineStr">
        <is>
          <t>На экранах смен много подписей, дней недели и динамических строк с временем. Переключение не должно менять сами расчёты.</t>
        </is>
      </c>
      <c r="D13" s="14" t="inlineStr">
        <is>
          <t>У тестового оператора есть смена и хотя бы один перерыв. РОП видит эту смену.</t>
        </is>
      </c>
      <c r="E13" s="14" t="inlineStr">
        <is>
          <t>1. Под оператором открой «Рабочее время» на русском и запиши итог работы и перерывов.
2. Переключи на узбекский и проверь заголовок `Ish vaqti`, статус, кнопки, дни недели и таблицу.
3. Под РОП открой «Посещаемость», затем переключи на узбекский `Davomat`.
4. Сравни числа, даты и строки одной смены до и после.</t>
        </is>
      </c>
      <c r="F13" s="16" t="inlineStr">
        <is>
          <t>High</t>
        </is>
      </c>
      <c r="G13" s="16" t="inlineStr">
        <is>
          <t>Позитивный</t>
        </is>
      </c>
      <c r="H13" s="16" t="inlineStr">
        <is>
          <t>UI</t>
        </is>
      </c>
      <c r="I13" s="14" t="inlineStr">
        <is>
          <t>Все подписи и дни недели переведены. Время начала, конца, длительности, число перерывов и выбранная неделя не меняются из-за переключения языка.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109.6" customHeight="1">
      <c r="A14" s="16" t="inlineStr">
        <is>
          <t>TC-265</t>
        </is>
      </c>
      <c r="B14" s="14" t="inlineStr">
        <is>
          <t>Ошибки сервера показываются на языке интерфейса</t>
        </is>
      </c>
      <c r="C14" s="14" t="inlineStr">
        <is>
          <t>Бэкенд возвращает часть сообщений на узбекском. Русский интерфейс должен переводить их в понятную пользовательскую ошибку, а не выводить ответ сервера как есть.</t>
        </is>
      </c>
      <c r="D14" s="14" t="inlineStr">
        <is>
          <t>Оператор открыл смену и начал перерыв. Интерфейс выбран русский.</t>
        </is>
      </c>
      <c r="E14" s="14" t="inlineStr">
        <is>
          <t>1. Во время активного перерыва нажми «Завершить смену».
2. Прочитай сообщение об ошибке.
3. Через Postman на русском сеансе вызови ещё один безопасный конфликт — попытку начать перерыв без открытой смены у отдельного тестового оператора.
4. Переключи интерфейс на узбекский и повтори допустимый тест ошибки.</t>
        </is>
      </c>
      <c r="F14" s="16" t="inlineStr">
        <is>
          <t>High</t>
        </is>
      </c>
      <c r="G14" s="16" t="inlineStr">
        <is>
          <t>Негативный</t>
        </is>
      </c>
      <c r="H14" s="16" t="inlineStr">
        <is>
          <t>UI+API</t>
        </is>
      </c>
      <c r="I14" s="14" t="inlineStr">
        <is>
          <t>Русский интерфейс объясняет по-русски, что сначала надо завершить перерыв или открыть смену; узбекский — по-узбекски. Пользователь не видит сырой JSON и узбекскую строку `smenani yopishdan oldin...` в русском режиме.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96.39999999999999" customHeight="1">
      <c r="A15" s="16" t="inlineStr">
        <is>
          <t>TC-266</t>
        </is>
      </c>
      <c r="B15" s="14" t="inlineStr">
        <is>
          <t>Заголовок вкладки браузера следует выбранному языку</t>
        </is>
      </c>
      <c r="C15" s="14" t="inlineStr">
        <is>
          <t>Название вкладки помогает найти страницу среди многих открытых. В коде часть metadata захардкожена на узбекском и может не обновляться при переключении.</t>
        </is>
      </c>
      <c r="D15" s="14" t="inlineStr">
        <is>
          <t>Открыт кабинет на русском.</t>
        </is>
      </c>
      <c r="E15" s="14" t="inlineStr">
        <is>
          <t>1. По очереди открой «Тарифы», «Лиды», «Рабочее время», «Посещаемость» и «Звонки» в новых вкладках.
2. Для каждой прочитай название вкладки браузера.
3. Переключи одну вкладку на узбекский и перейди между разделами.
4. Сравни видимый заголовок страницы и название вкладки.</t>
        </is>
      </c>
      <c r="F15" s="16" t="inlineStr">
        <is>
          <t>Medium</t>
        </is>
      </c>
      <c r="G15" s="16" t="inlineStr">
        <is>
          <t>Негативный</t>
        </is>
      </c>
      <c r="H15" s="16" t="inlineStr">
        <is>
          <t>UI</t>
        </is>
      </c>
      <c r="I15" s="14" t="inlineStr">
        <is>
          <t>На русском названия вкладок русские, на узбекском — узбекские, и соответствуют открытому разделу. Не остаются `Tariflar`, `Lidlar`, `Ish vaqti`, `Davomat` в русской версии или `Sign in | Jwt` на странице входа.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83.19999999999999" customHeight="1">
      <c r="A16" s="16" t="inlineStr">
        <is>
          <t>TC-267</t>
        </is>
      </c>
      <c r="B16" s="14" t="inlineStr">
        <is>
          <t>Формат дат, времени и чисел соответствует языку</t>
        </is>
      </c>
      <c r="C16" s="14" t="inlineStr">
        <is>
          <t>Перевод текста без локального формата оставляет ощущение смешанного интерфейса. Проверяем даты лидов, время смен и цену тарифа.</t>
        </is>
      </c>
      <c r="D16" s="14" t="inlineStr">
        <is>
          <t>Есть лид с датой, смена с известным временем и тариф с ценой 1234567.</t>
        </is>
      </c>
      <c r="E16" s="14" t="inlineStr">
        <is>
          <t>1. На русском открой карточку лида, «Посещаемость» и карточку тарифа.
2. Запиши показ дат, времени и цены.
3. Переключи на узбекский и сравни те же значения.
4. Убедись, что момент времени и сумма не изменились, меняется только локальное оформление.</t>
        </is>
      </c>
      <c r="F16" s="16" t="inlineStr">
        <is>
          <t>Medium</t>
        </is>
      </c>
      <c r="G16" s="16" t="inlineStr">
        <is>
          <t>Граничный</t>
        </is>
      </c>
      <c r="H16" s="16" t="inlineStr">
        <is>
          <t>UI</t>
        </is>
      </c>
      <c r="I16" s="14" t="inlineStr">
        <is>
          <t>Русская версия использует русский формат, узбекская — узбекский. Часовой пояс остаётся Ташкент, дата не сдвигается на день, цена не округляется и не получает двойную валюту.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122.8" customHeight="1">
      <c r="A17" s="16" t="inlineStr">
        <is>
          <t>TC-268</t>
        </is>
      </c>
      <c r="B17" s="14" t="inlineStr">
        <is>
          <t>На основных экранах нет сырых ключей и непереведённых служебных строк</t>
        </is>
      </c>
      <c r="C17" s="14" t="inlineStr">
        <is>
          <t>Вместо перевода приложение иногда может показать `nav.calls`, `undefined` или захардкоженную строку. Проверяем все модули одним обзорным проходом.</t>
        </is>
      </c>
      <c r="D17" s="14" t="inlineStr">
        <is>
          <t>Есть доступ к разделам всех трёх ролей и тестовые данные, чтобы экраны не были пустыми.</t>
        </is>
      </c>
      <c r="E17" s="14" t="inlineStr">
        <is>
          <t>1. На русском пройди страницы входа, РОПы, Лиды, Тарифы, Правила, Операторы, Очередь, Критерии, Посещаемость, Рабочий стол, Режим звонков, Звонки и Рабочее время.
2. На каждой открой хотя бы одно диалоговое окно и вызови безопасную ошибку.
3. Ищи точки в ключах (`nav.`, `plans.`, `validation.`), `undefined`, `null` и узбекские служебные фразы.
4. Повтори краткий проход на узбекском, ища русские служебные фразы.</t>
        </is>
      </c>
      <c r="F17" s="16" t="inlineStr">
        <is>
          <t>High</t>
        </is>
      </c>
      <c r="G17" s="16" t="inlineStr">
        <is>
          <t>Негативный</t>
        </is>
      </c>
      <c r="H17" s="16" t="inlineStr">
        <is>
          <t>UI</t>
        </is>
      </c>
      <c r="I17" s="14" t="inlineStr">
        <is>
          <t>Сырых ключей, `undefined`, `null` и смешанных служебных строк нет. Имена клиентов, операторов, воронок и статусов не считаются ошибкой перевода — это пользовательские данные.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136" customHeight="1">
      <c r="A18" s="16" t="inlineStr">
        <is>
          <t>TC-269</t>
        </is>
      </c>
      <c r="B18" s="14" t="inlineStr">
        <is>
          <t>Пользовательские данные не переводятся и не повреждаются</t>
        </is>
      </c>
      <c r="C18" s="14" t="inlineStr">
        <is>
          <t>Название компании, имя, комментарий и статус из AmoCRM — данные клиента, а не подписи интерфейса. Переключение языка не должно их менять.</t>
        </is>
      </c>
      <c r="D18" s="14" t="inlineStr">
        <is>
          <t>Созданы тестовые данные с русскими, узбекскими и латинскими символами, апострофами и эмодзи.</t>
        </is>
      </c>
      <c r="E18" s="14" t="inlineStr">
        <is>
          <t>1. На русском открой карточки компании, оператора, лида и звонка.
2. Скопируй контрольные значения в локальную заметку без секретов.
3. Переключи на узбекский и снова открой те же карточки.
4. Сравни каждый символ и порядок вариантов в пользовательских полях.
5. Верни русский и убедись, что данные не были повторно сохранены.</t>
        </is>
      </c>
      <c r="F18" s="16" t="inlineStr">
        <is>
          <t>Critical</t>
        </is>
      </c>
      <c r="G18" s="16" t="inlineStr">
        <is>
          <t>Граничный</t>
        </is>
      </c>
      <c r="H18" s="16" t="inlineStr">
        <is>
          <t>UI</t>
        </is>
      </c>
      <c r="I18" s="14" t="inlineStr">
        <is>
          <t>Пользовательские данные совпадают посимвольно, апострофы и Unicode сохранены. Переводятся только подписи, а переключение не отправляет PATCH и не меняет AmoCRM.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83.19999999999999" customHeight="1">
      <c r="A19" s="16" t="inlineStr">
        <is>
          <t>TC-270</t>
        </is>
      </c>
      <c r="B19" s="14" t="inlineStr">
        <is>
          <t>Переключатель языка работает при временной потере сети</t>
        </is>
      </c>
      <c r="C19" s="14" t="inlineStr">
        <is>
          <t>Переводы встроены в приложение. После первой загрузки переключение не должно зависеть от нового ответа сервера или сбрасывать открытую форму.</t>
        </is>
      </c>
      <c r="D19" s="14" t="inlineStr">
        <is>
          <t>Кабинет и оба набора переводов уже загружены. Открыта форма с несохранённым тестовым текстом.</t>
        </is>
      </c>
      <c r="E19" s="14" t="inlineStr">
        <is>
          <t>1. В инструментах браузера включи Offline.
2. Переключи язык с русского на узбекский.
3. Проверь форму, меню и введённый текст.
4. Верни сеть и переключи обратно.
5. Убедись, что не появилось сообщение об успешном сохранении данных.</t>
        </is>
      </c>
      <c r="F19" s="16" t="inlineStr">
        <is>
          <t>Medium</t>
        </is>
      </c>
      <c r="G19" s="16" t="inlineStr">
        <is>
          <t>Негативный</t>
        </is>
      </c>
      <c r="H19" s="16" t="inlineStr">
        <is>
          <t>UI</t>
        </is>
      </c>
      <c r="I19" s="14" t="inlineStr">
        <is>
          <t>Локальные подписи переключаются без сети, введённый текст остаётся. Ошибка сети не маскируется как сохранение; после восстановления кабинет продолжает работать.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109.6" customHeight="1">
      <c r="A20" s="16" t="inlineStr">
        <is>
          <t>TC-271</t>
        </is>
      </c>
      <c r="B20" s="14" t="inlineStr">
        <is>
          <t>Русские и узбекские подписи помещаются на мобильном экране</t>
        </is>
      </c>
      <c r="C20" s="14" t="inlineStr">
        <is>
          <t>Русские слова часто длиннее узбекских. Проверяем, что кнопки и таблицы остаются читаемыми при ширине телефона и увеличенном тексте.</t>
        </is>
      </c>
      <c r="D20" s="14" t="inlineStr">
        <is>
          <t>Браузер открыт в режиме мобильного устройства шириной около 360 пикселей.</t>
        </is>
      </c>
      <c r="E20" s="14" t="inlineStr">
        <is>
          <t>1. На русском открой страницу входа, меню, создание оператора, тарифы и «Рабочее время».
2. Увеличь масштаб браузера до 200%.
3. Проверь кнопки, подписи полей, сообщения ошибок и горизонтальную прокрутку таблиц.
4. Повтори на узбекском.
5. Попробуй открыть и закрыть переключатель языка с клавиатуры или касанием.</t>
        </is>
      </c>
      <c r="F20" s="16" t="inlineStr">
        <is>
          <t>Medium</t>
        </is>
      </c>
      <c r="G20" s="16" t="inlineStr">
        <is>
          <t>Граничный</t>
        </is>
      </c>
      <c r="H20" s="16" t="inlineStr">
        <is>
          <t>UI</t>
        </is>
      </c>
      <c r="I20" s="14" t="inlineStr">
        <is>
          <t>Текст не обрезан так, что смысл теряется; кнопки доступны, элементы не накладываются и страницу можно прокрутить. Переключатель языка не уходит за экран.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96.39999999999999" customHeight="1">
      <c r="A21" s="16" t="inlineStr">
        <is>
          <t>TC-272</t>
        </is>
      </c>
      <c r="B21" s="14" t="inlineStr">
        <is>
          <t>Смена языка не повторяет запрос и не сбрасывает рабочее действие</t>
        </is>
      </c>
      <c r="C21" s="14" t="inlineStr">
        <is>
          <t>Перевод — только изменение отображения. Он не должен повторно звонить, создавать пользователя, отправлять форму или менять состояние смены.</t>
        </is>
      </c>
      <c r="D21" s="14" t="inlineStr">
        <is>
          <t>Открыт один безопасный незавершённый процесс: форма создания, активная смена или подготовленная форма подтверждения звонка.</t>
        </is>
      </c>
      <c r="E21" s="14" t="inlineStr">
        <is>
          <t>1. В инструментах браузера открой вкладку Network и очисти список.
2. Переключи язык на другой.
3. Проверь состояние формы или смены.
4. Посмотри, какие запросы изменения данных (POST/PATCH/DELETE) были отправлены.
5. Переключи язык обратно и повтори проверку.</t>
        </is>
      </c>
      <c r="F21" s="16" t="inlineStr">
        <is>
          <t>Critical</t>
        </is>
      </c>
      <c r="G21" s="16" t="inlineStr">
        <is>
          <t>Негативный</t>
        </is>
      </c>
      <c r="H21" s="16" t="inlineStr">
        <is>
          <t>UI+API</t>
        </is>
      </c>
      <c r="I21" s="14" t="inlineStr">
        <is>
          <t>Переключение не отправляет запросов изменения данных и не повторяет последнее действие. Активная смена, звонок, выбранный лид и введённые поля сохраняются.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</sheetData>
  <autoFilter ref="A1:L21"/>
  <conditionalFormatting sqref="K2:K5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51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51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51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83.19999999999999" customHeight="1">
      <c r="A2" s="16" t="inlineStr">
        <is>
          <t>TC-273</t>
        </is>
      </c>
      <c r="B2" s="14" t="inlineStr">
        <is>
          <t>Оператор начинает смену</t>
        </is>
      </c>
      <c r="C2" s="14" t="inlineStr">
        <is>
          <t>Проверяем основной путь учёта рабочего дня: оператор сам открывает одну смену на текущую дату по времени Ташкента.</t>
        </is>
      </c>
      <c r="D2" s="14" t="inlineStr">
        <is>
          <t>Выполнен вход под активным оператором. Сегодня у него ещё нет записи смены.</t>
        </is>
      </c>
      <c r="E2" s="14" t="inlineStr">
        <is>
          <t>1. В меню открой «Рабочее время» (uz: `Ish vaqti`).
2. Убедись, что статус — «Не работает» и написано «Смена сегодня не открыта».
3. Нажми «Начать смену» (uz: `Smenani boshlash`).
4. Подожди несколько секунд.
5. Проверь статус, таймер и блок «Сегодняшняя сессия».</t>
        </is>
      </c>
      <c r="F2" s="16" t="inlineStr">
        <is>
          <t>Critical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Статус меняется на «Работает», таймер начинает расти каждую секунду. В истории одна строка «работа начата» с текущим временем Ташкента; появляется кнопка «Перерыв».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83.19999999999999" customHeight="1">
      <c r="A3" s="16" t="inlineStr">
        <is>
          <t>TC-274</t>
        </is>
      </c>
      <c r="B3" s="14" t="inlineStr">
        <is>
          <t>Двойное нажатие «Начать смену» не создаёт две записи</t>
        </is>
      </c>
      <c r="C3" s="14" t="inlineStr">
        <is>
          <t>Для оператора и даты разрешена одна запись. Быстрый повтор не должен сразу закрыть только что открытую смену или создать дубль.</t>
        </is>
      </c>
      <c r="D3" s="14" t="inlineStr">
        <is>
          <t>Сегодня у тестового оператора нет смены. Открыт экран «Рабочее время».</t>
        </is>
      </c>
      <c r="E3" s="14" t="inlineStr">
        <is>
          <t>1. Быстро дважды нажми «Начать смену».
2. Дождись обновления экрана.
3. Запроси GET `/v1/operator-work/weekly` с токеном оператора.
4. Найди элементы с сегодняшней датой.
5. Проверь, что смена остаётся открытой.</t>
        </is>
      </c>
      <c r="F3" s="16" t="inlineStr">
        <is>
          <t>Critical</t>
        </is>
      </c>
      <c r="G3" s="16" t="inlineStr">
        <is>
          <t>Негативный</t>
        </is>
      </c>
      <c r="H3" s="16" t="inlineStr">
        <is>
          <t>UI+API</t>
        </is>
      </c>
      <c r="I3" s="14" t="inlineStr">
        <is>
          <t>Кнопка блокируется на время запроса. Существует ровно одна открытая смена с одним временем начала; второй щелчок не закрыл её и не вернул ошибку пользователю.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83.19999999999999" customHeight="1">
      <c r="A4" s="16" t="inlineStr">
        <is>
          <t>TC-275</t>
        </is>
      </c>
      <c r="B4" s="14" t="inlineStr">
        <is>
          <t>Открытая смена сохраняется после обновления и нового входа</t>
        </is>
      </c>
      <c r="C4" s="14" t="inlineStr">
        <is>
          <t>Состояние хранится на сервере, а не только во вкладке. Таймер после перезагрузки должен продолжить фактическую длительность.</t>
        </is>
      </c>
      <c r="D4" s="14" t="inlineStr">
        <is>
          <t>Оператор открыл смену не менее минуты назад.</t>
        </is>
      </c>
      <c r="E4" s="14" t="inlineStr">
        <is>
          <t>1. Запиши показанный таймер.
2. Обнови страницу и сравни таймер.
3. Перейди в другой раздел и вернись в «Рабочее время».
4. Выйди и снова войди под тем же оператором.
5. Снова открой «Рабочее время».</t>
        </is>
      </c>
      <c r="F4" s="16" t="inlineStr">
        <is>
          <t>High</t>
        </is>
      </c>
      <c r="G4" s="16" t="inlineStr">
        <is>
          <t>Позитивный</t>
        </is>
      </c>
      <c r="H4" s="16" t="inlineStr">
        <is>
          <t>UI</t>
        </is>
      </c>
      <c r="I4" s="14" t="inlineStr">
        <is>
          <t>Смена остаётся открытой, время начала неизменно. Таймер продолжает расти от серверного времени и не начинает заново с нуля после обновления или входа.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70" customHeight="1">
      <c r="A5" s="16" t="inlineStr">
        <is>
          <t>TC-276</t>
        </is>
      </c>
      <c r="B5" s="14" t="inlineStr">
        <is>
          <t>Оператор начинает перерыв в открытой смене</t>
        </is>
      </c>
      <c r="C5" s="14" t="inlineStr">
        <is>
          <t>Ручной перерыв приостанавливает рабочее время и отмечается отдельным интервалом.</t>
        </is>
      </c>
      <c r="D5" s="14" t="inlineStr">
        <is>
          <t>У оператора открыта смена, активного перерыва нет.</t>
        </is>
      </c>
      <c r="E5" s="14" t="inlineStr">
        <is>
          <t>1. Запиши рабочий таймер.
2. Нажми «Перерыв» (uz: `Tanaffus`).
3. Подожди 10 секунд.
4. Проверь статус, главную кнопку перерыва, таймер и блок сегодняшней сессии.</t>
        </is>
      </c>
      <c r="F5" s="16" t="inlineStr">
        <is>
          <t>Critical</t>
        </is>
      </c>
      <c r="G5" s="16" t="inlineStr">
        <is>
          <t>Позитивный</t>
        </is>
      </c>
      <c r="H5" s="16" t="inlineStr">
        <is>
          <t>UI</t>
        </is>
      </c>
      <c r="I5" s="14" t="inlineStr">
        <is>
          <t>Статус — «На перерыве», кнопка меняется на «Завершить перерыв». Рабочий таймер практически не растёт, в истории появился открытый перерыв с временем начала.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70" customHeight="1">
      <c r="A6" s="16" t="inlineStr">
        <is>
          <t>TC-277</t>
        </is>
      </c>
      <c r="B6" s="14" t="inlineStr">
        <is>
          <t>Завершение перерыва учитывает длительность и количество</t>
        </is>
      </c>
      <c r="C6" s="14" t="inlineStr">
        <is>
          <t>После возврата система добавляет длительность перерыва в итог и увеличивает счётчик завершённых перерывов.</t>
        </is>
      </c>
      <c r="D6" s="14" t="inlineStr">
        <is>
          <t>У оператора идёт перерыв не менее одной минуты.</t>
        </is>
      </c>
      <c r="E6" s="14" t="inlineStr">
        <is>
          <t>1. Запиши время начала перерыва и текущий счётчик.
2. Нажми «Завершить перерыв».
3. Проверь статус и рабочий таймер.
4. Проверь строку перерыва в «Сегодняшней сессии».
5. Обнови страницу и запроси недельную сводку.</t>
        </is>
      </c>
      <c r="F6" s="16" t="inlineStr">
        <is>
          <t>Critical</t>
        </is>
      </c>
      <c r="G6" s="16" t="inlineStr">
        <is>
          <t>Позитивный</t>
        </is>
      </c>
      <c r="H6" s="16" t="inlineStr">
        <is>
          <t>UI+API</t>
        </is>
      </c>
      <c r="I6" s="14" t="inlineStr">
        <is>
          <t>Статус снова «Работает», рабочий таймер продолжает расти. У перерыва есть конец, счётчик увеличен на один, длительность близка фактической и сохраняется после обновления.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96.39999999999999" customHeight="1">
      <c r="A7" s="16" t="inlineStr">
        <is>
          <t>TC-278</t>
        </is>
      </c>
      <c r="B7" s="14" t="inlineStr">
        <is>
          <t>Несколько перерывов суммируются без потери первого</t>
        </is>
      </c>
      <c r="C7" s="14" t="inlineStr">
        <is>
          <t>В одной смене может быть несколько перерывов. Каждый интервал хранится отдельно, а общий итог равен их сумме.</t>
        </is>
      </c>
      <c r="D7" s="14" t="inlineStr">
        <is>
          <t>Открыта смена, один завершённый перерыв уже есть.</t>
        </is>
      </c>
      <c r="E7" s="14" t="inlineStr">
        <is>
          <t>1. Начни второй перерыв, подожди заметный интервал и заверши его.
2. Повтори для третьего короткого перерыва.
3. Посчитай строки в «Сегодняшней сессии».
4. Сравни «Количество перерывов» и «Всего перерывов» с отдельными интервалами.
5. Обнови страницу.</t>
        </is>
      </c>
      <c r="F7" s="16" t="inlineStr">
        <is>
          <t>High</t>
        </is>
      </c>
      <c r="G7" s="16" t="inlineStr">
        <is>
          <t>Граничный</t>
        </is>
      </c>
      <c r="H7" s="16" t="inlineStr">
        <is>
          <t>UI</t>
        </is>
      </c>
      <c r="I7" s="14" t="inlineStr">
        <is>
          <t>Показаны все завершённые интервалы в хронологическом порядке. Счётчик равен их количеству, общая длительность равна сумме с допустимым округлением в несколько секунд.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83.19999999999999" customHeight="1">
      <c r="A8" s="16" t="inlineStr">
        <is>
          <t>TC-279</t>
        </is>
      </c>
      <c r="B8" s="14" t="inlineStr">
        <is>
          <t>Перерыв нельзя начать без открытой смены</t>
        </is>
      </c>
      <c r="C8" s="14" t="inlineStr">
        <is>
          <t>Интерфейс скрывает кнопку, но сервер тоже обязан отклонить прямой запрос.</t>
        </is>
      </c>
      <c r="D8" s="14" t="inlineStr">
        <is>
          <t>У отдельного тестового оператора сегодня нет смены. Есть его токен.</t>
        </is>
      </c>
      <c r="E8" s="14" t="inlineStr">
        <is>
          <t>1. Открой «Рабочее время» и убедись, что кнопки «Перерыв» нет.
2. В Postman с токеном оператора отправь POST `/v1/operator-work/break`.
3. Проверь код и сообщение.
4. Запроси GET `/v1/operator-work/weekly`.</t>
        </is>
      </c>
      <c r="F8" s="16" t="inlineStr">
        <is>
          <t>High</t>
        </is>
      </c>
      <c r="G8" s="16" t="inlineStr">
        <is>
          <t>Негативный</t>
        </is>
      </c>
      <c r="H8" s="16" t="inlineStr">
        <is>
          <t>UI+API</t>
        </is>
      </c>
      <c r="I8" s="14" t="inlineStr">
        <is>
          <t>Сервер возвращает 409 и понятно сообщает, что смена не открыта. Смена или перерыв автоматически не создаются.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70" customHeight="1">
      <c r="A9" s="16" t="inlineStr">
        <is>
          <t>TC-280</t>
        </is>
      </c>
      <c r="B9" s="14" t="inlineStr">
        <is>
          <t>Смену нельзя завершить во время активного перерыва</t>
        </is>
      </c>
      <c r="C9" s="14" t="inlineStr">
        <is>
          <t>Сначала нужно закрыть интервал перерыва, иначе расчёт времени станет неоднозначным.</t>
        </is>
      </c>
      <c r="D9" s="14" t="inlineStr">
        <is>
          <t>У оператора открыта смена и идёт активный перерыв.</t>
        </is>
      </c>
      <c r="E9" s="14" t="inlineStr">
        <is>
          <t>1. Нажми «Завершить смену».
2. Прочитай сообщение об ошибке.
3. Обнови страницу.
4. Проверь, что смена и перерыв всё ещё активны.
5. Заверши перерыв и только затем заверши смену.</t>
        </is>
      </c>
      <c r="F9" s="16" t="inlineStr">
        <is>
          <t>Critical</t>
        </is>
      </c>
      <c r="G9" s="16" t="inlineStr">
        <is>
          <t>Негативный</t>
        </is>
      </c>
      <c r="H9" s="16" t="inlineStr">
        <is>
          <t>UI</t>
        </is>
      </c>
      <c r="I9" s="14" t="inlineStr">
        <is>
          <t>Первая попытка возвращает понятный конфликт и ничего не закрывает. После завершения перерыва смена закрывается обычным способом; длительность перерыва не потеряна.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70" customHeight="1">
      <c r="A10" s="16" t="inlineStr">
        <is>
          <t>TC-281</t>
        </is>
      </c>
      <c r="B10" s="14" t="inlineStr">
        <is>
          <t>Оператор завершает смену после работы и перерывов</t>
        </is>
      </c>
      <c r="C10" s="14" t="inlineStr">
        <is>
          <t>Закрытие фиксирует время конца и окончательные длительности, которые больше не растут.</t>
        </is>
      </c>
      <c r="D10" s="14" t="inlineStr">
        <is>
          <t>У оператора открыта смена, активного перерыва нет, есть хотя бы один завершённый перерыв.</t>
        </is>
      </c>
      <c r="E10" s="14" t="inlineStr">
        <is>
          <t>1. Запиши рабочий таймер и сумму перерывов.
2. Нажми «Завершить смену».
3. Проверь статус и историю сегодняшней сессии.
4. Подожди 10 секунд и сравни итог работы.
5. Обнови страницу и проверь недельную таблицу.</t>
        </is>
      </c>
      <c r="F10" s="16" t="inlineStr">
        <is>
          <t>Critical</t>
        </is>
      </c>
      <c r="G10" s="16" t="inlineStr">
        <is>
          <t>Позитивный</t>
        </is>
      </c>
      <c r="H10" s="16" t="inlineStr">
        <is>
          <t>UI</t>
        </is>
      </c>
      <c r="I10" s="14" t="inlineStr">
        <is>
          <t>Статус становится «Не работает», в истории есть время завершения. Рабочая длительность и перерывы перестают расти и после обновления совпадают с итогом смены.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70" customHeight="1">
      <c r="A11" s="16" t="inlineStr">
        <is>
          <t>TC-282</t>
        </is>
      </c>
      <c r="B11" s="14" t="inlineStr">
        <is>
          <t>Закрытую сегодня смену нельзя открыть повторно</t>
        </is>
      </c>
      <c r="C11" s="14" t="inlineStr">
        <is>
          <t>На оператора и дату разрешена одна смена. Экран должен ясно показать, что рабочий день завершён, а не предлагать действие, которое сервер всё равно отклонит.</t>
        </is>
      </c>
      <c r="D11" s="14" t="inlineStr">
        <is>
          <t>Тестовый оператор уже завершил сегодняшнюю смену.</t>
        </is>
      </c>
      <c r="E11" s="14" t="inlineStr">
        <is>
          <t>1. Обнови «Рабочее время».
2. Проверь статус, итог и главную кнопку.
3. Если доступна «Начать смену», нажми её один раз.
4. Проверь сообщение и недельную сводку.</t>
        </is>
      </c>
      <c r="F11" s="16" t="inlineStr">
        <is>
          <t>High</t>
        </is>
      </c>
      <c r="G11" s="16" t="inlineStr">
        <is>
          <t>Негативный</t>
        </is>
      </c>
      <c r="H11" s="16" t="inlineStr">
        <is>
          <t>UI</t>
        </is>
      </c>
      <c r="I11" s="14" t="inlineStr">
        <is>
          <t>Смена остаётся закрытой и второй записи нет. Экран сообщает, что смена за сегодня завершена, и не предлагает вводящую в заблуждение активную кнопку. Прямой повтор получает 409, но не портит итог.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83.19999999999999" customHeight="1">
      <c r="A12" s="16" t="inlineStr">
        <is>
          <t>TC-283</t>
        </is>
      </c>
      <c r="B12" s="14" t="inlineStr">
        <is>
          <t>Потеря сети при открытии смены не создаёт неопределённое состояние</t>
        </is>
      </c>
      <c r="C12" s="14" t="inlineStr">
        <is>
          <t>Если ответ потерялся, после восстановления оператор должен понять, открылась смена или нет, и безопасно продолжить.</t>
        </is>
      </c>
      <c r="D12" s="14" t="inlineStr">
        <is>
          <t>Сегодня смены нет. Инструменты браузера позволяют включить Offline.</t>
        </is>
      </c>
      <c r="E12" s="14" t="inlineStr">
        <is>
          <t>1. Нажми «Начать смену» и сразу включи Offline.
2. Верни сеть через несколько секунд.
3. Обнови страницу и проверь текущий статус.
4. Если смены нет — нажми «Начать смену» один раз; если есть — не нажимай.
5. Через API посчитай записи за сегодня.</t>
        </is>
      </c>
      <c r="F12" s="16" t="inlineStr">
        <is>
          <t>Critical</t>
        </is>
      </c>
      <c r="G12" s="16" t="inlineStr">
        <is>
          <t>Негативный</t>
        </is>
      </c>
      <c r="H12" s="16" t="inlineStr">
        <is>
          <t>UI+API</t>
        </is>
      </c>
      <c r="I12" s="14" t="inlineStr">
        <is>
          <t>После обновления показано серверное состояние. В итоге существует одна открытая смена или ни одной до безопасного повтора; дубля и случайного закрытия нет.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96.39999999999999" customHeight="1">
      <c r="A13" s="16" t="inlineStr">
        <is>
          <t>TC-284</t>
        </is>
      </c>
      <c r="B13" s="14" t="inlineStr">
        <is>
          <t>Потеря сети при переключении перерыва сохраняет фактическое состояние</t>
        </is>
      </c>
      <c r="C13" s="14" t="inlineStr">
        <is>
          <t>Одна и та же кнопка начинает и завершает перерыв. При потерянном ответе слепой повтор может сделать обратное действие, поэтому экран обязан сначала синхронизироваться.</t>
        </is>
      </c>
      <c r="D13" s="14" t="inlineStr">
        <is>
          <t>Смена открыта, перерыва нет. Можно временно оборвать сеть.</t>
        </is>
      </c>
      <c r="E13" s="14" t="inlineStr">
        <is>
          <t>1. Нажми «Перерыв» и сразу включи Offline.
2. Верни сеть и обнови страницу.
3. Проверь статус и наличие открытого интервала.
4. Заверши перерыв только если он действительно активен.
5. Проверь число и длительность интервалов через недельный API.</t>
        </is>
      </c>
      <c r="F13" s="16" t="inlineStr">
        <is>
          <t>Critical</t>
        </is>
      </c>
      <c r="G13" s="16" t="inlineStr">
        <is>
          <t>Негативный</t>
        </is>
      </c>
      <c r="H13" s="16" t="inlineStr">
        <is>
          <t>UI+API</t>
        </is>
      </c>
      <c r="I13" s="14" t="inlineStr">
        <is>
          <t>После восстановления экран показывает фактическое состояние. Создан не более одного интервала; безопасное завершение не начинает новый перерыв и не теряет время.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83.19999999999999" customHeight="1">
      <c r="A14" s="16" t="inlineStr">
        <is>
          <t>TC-285</t>
        </is>
      </c>
      <c r="B14" s="14" t="inlineStr">
        <is>
          <t>Две вкладки не переключают смену дважды</t>
        </is>
      </c>
      <c r="C14" s="14" t="inlineStr">
        <is>
          <t>Toggle-метод меняет действие в зависимости от текущего состояния. Одновременные нажатия в двух вкладках не должны открыть и тут же закрыть смену.</t>
        </is>
      </c>
      <c r="D14" s="14" t="inlineStr">
        <is>
          <t>Один оператор вошёл в двух вкладках, сегодня смены ещё нет.</t>
        </is>
      </c>
      <c r="E14" s="14" t="inlineStr">
        <is>
          <t>1. В обеих вкладках открой «Рабочее время».
2. Почти одновременно нажми «Начать смену» в обеих.
3. Обнови обе вкладки.
4. Проверь недельный API и время закрытия.
5. Повтори похожую проверку с началом перерыва в двух вкладках.</t>
        </is>
      </c>
      <c r="F14" s="16" t="inlineStr">
        <is>
          <t>Critical</t>
        </is>
      </c>
      <c r="G14" s="16" t="inlineStr">
        <is>
          <t>Граничный</t>
        </is>
      </c>
      <c r="H14" s="16" t="inlineStr">
        <is>
          <t>UI+API</t>
        </is>
      </c>
      <c r="I14" s="14" t="inlineStr">
        <is>
          <t>Существует одна открытая смена, которая не закрылась вторым запросом, и один активный перерыв. Обе вкладки сходятся к одному состоянию; конфликт показан безопасно.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96.39999999999999" customHeight="1">
      <c r="A15" s="16" t="inlineStr">
        <is>
          <t>TC-286</t>
        </is>
      </c>
      <c r="B15" s="14" t="inlineStr">
        <is>
          <t>Рабочее время исключает завершённые и активный перерыв</t>
        </is>
      </c>
      <c r="C15" s="14" t="inlineStr">
        <is>
          <t>Главная формула: от длительности смены вычитаются все перерывы. Во время активного перерыва рабочий таймер должен остановиться.</t>
        </is>
      </c>
      <c r="D15" s="14" t="inlineStr">
        <is>
          <t>Открыта новая тестовая смена. Есть возможность засечь интервалы секундомером.</t>
        </is>
      </c>
      <c r="E15" s="14" t="inlineStr">
        <is>
          <t>1. Поработай около 60 секунд и запиши таймер.
2. Начни перерыв примерно на 60 секунд и наблюдай рабочий таймер.
3. Заверши перерыв и поработай ещё около 60 секунд.
4. Заверши смену.
5. Сравни фактическую длительность смены, перерыв и показанное рабочее время.</t>
        </is>
      </c>
      <c r="F15" s="16" t="inlineStr">
        <is>
          <t>Critical</t>
        </is>
      </c>
      <c r="G15" s="16" t="inlineStr">
        <is>
          <t>Граничный</t>
        </is>
      </c>
      <c r="H15" s="16" t="inlineStr">
        <is>
          <t>UI</t>
        </is>
      </c>
      <c r="I15" s="14" t="inlineStr">
        <is>
          <t>Рабочее время примерно равно общему интервалу минус перерыв, с погрешностью несколько секунд. Во время перерыва оно не растёт и никогда не становится отрицательным.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70" customHeight="1">
      <c r="A16" s="16" t="inlineStr">
        <is>
          <t>TC-287</t>
        </is>
      </c>
      <c r="B16" s="14" t="inlineStr">
        <is>
          <t>Очень короткий перерыв не даёт отрицательных или огромных значений</t>
        </is>
      </c>
      <c r="C16" s="14" t="inlineStr">
        <is>
          <t>Перерыв в несколько секунд проверяет округление интерфейса и порядок временных меток.</t>
        </is>
      </c>
      <c r="D16" s="14" t="inlineStr">
        <is>
          <t>Смена открыта, активного перерыва нет.</t>
        </is>
      </c>
      <c r="E16" s="14" t="inlineStr">
        <is>
          <t>1. Начни перерыв и заверши его через 2–5 секунд.
2. Проверь строку интервала и общий итог.
3. Обнови страницу.
4. Проверь API-поля `break_duration_seconds` и `break_count`.</t>
        </is>
      </c>
      <c r="F16" s="16" t="inlineStr">
        <is>
          <t>Medium</t>
        </is>
      </c>
      <c r="G16" s="16" t="inlineStr">
        <is>
          <t>Граничный</t>
        </is>
      </c>
      <c r="H16" s="16" t="inlineStr">
        <is>
          <t>UI+API</t>
        </is>
      </c>
      <c r="I16" s="14" t="inlineStr">
        <is>
          <t>Счётчик увеличен на один, секунды неотрицательны и близки фактическим. Интерфейс может округлить подпись до одной минуты, но общий итог и API не превращаются в часы.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109.6" customHeight="1">
      <c r="A17" s="16" t="inlineStr">
        <is>
          <t>TC-288</t>
        </is>
      </c>
      <c r="B17" s="14" t="inlineStr">
        <is>
          <t>Недельная сводка оператора охватывает понедельник–воскресенье</t>
        </is>
      </c>
      <c r="C17" s="14" t="inlineStr">
        <is>
          <t>Текущая неделя привязана к понедельнику. В таблицу должны попасть только семь соответствующих дат и только смены самого оператора.</t>
        </is>
      </c>
      <c r="D17" s="14" t="inlineStr">
        <is>
          <t>У оператора есть тестовые смены в разные дни текущей и соседней недели.</t>
        </is>
      </c>
      <c r="E17" s="14" t="inlineStr">
        <is>
          <t>1. Под оператором открой «Рабочее время».
2. Проверь диапазон «Эта неделя» и семь столбцов диаграммы.
3. Сравни понедельник и воскресенье с календарём.
4. Сложи `Отработано` по строкам и сравни с общим итогом.
5. Через API проверь `week_start`, `week_end` и ID оператора.</t>
        </is>
      </c>
      <c r="F17" s="16" t="inlineStr">
        <is>
          <t>High</t>
        </is>
      </c>
      <c r="G17" s="16" t="inlineStr">
        <is>
          <t>Позитивный</t>
        </is>
      </c>
      <c r="H17" s="16" t="inlineStr">
        <is>
          <t>UI+API</t>
        </is>
      </c>
      <c r="I17" s="14" t="inlineStr">
        <is>
          <t>`week_start` — понедельник, `week_end` — воскресенье, разница шесть дней. В таблице только свои смены этого диапазона, итог равен сумме строк.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109.6" customHeight="1">
      <c r="A18" s="16" t="inlineStr">
        <is>
          <t>TC-289</t>
        </is>
      </c>
      <c r="B18" s="14" t="inlineStr">
        <is>
          <t>РОП листает прошлые недели, но не будущие</t>
        </is>
      </c>
      <c r="C18" s="14" t="inlineStr">
        <is>
          <t>Стрелки на «Посещаемости» позволяют смотреть историю и не должны уходить в пустое будущее.</t>
        </is>
      </c>
      <c r="D18" s="14" t="inlineStr">
        <is>
          <t>Выполнен вход под РОП. У операторов есть записи за текущую и прошлую неделю.</t>
        </is>
      </c>
      <c r="E18" s="14" t="inlineStr">
        <is>
          <t>1. Открой «Посещаемость».
2. Запиши диапазон текущей недели.
3. Нажми стрелку назад и проверь диапазон и данные.
4. Вернись стрелкой вперёд.
5. Проверь, что на текущей неделе стрелка вперёд неактивна.
6. Быстро несколько раз нажми назад и убедись, что ответ одной недели не подменяет другую.</t>
        </is>
      </c>
      <c r="F18" s="16" t="inlineStr">
        <is>
          <t>Medium</t>
        </is>
      </c>
      <c r="G18" s="16" t="inlineStr">
        <is>
          <t>Граничный</t>
        </is>
      </c>
      <c r="H18" s="16" t="inlineStr">
        <is>
          <t>UI</t>
        </is>
      </c>
      <c r="I18" s="14" t="inlineStr">
        <is>
          <t>Каждый шаг меняет диапазон ровно на семь дней. Текущая неделя не позволяет перейти в будущее; таблица и KPI соответствуют выбранному диапазону без мигания чужих данных.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109.6" customHeight="1">
      <c r="A19" s="16" t="inlineStr">
        <is>
          <t>TC-290</t>
        </is>
      </c>
      <c r="B19" s="14" t="inlineStr">
        <is>
          <t>РОП видит посещаемость всех своих операторов и правильные KPI</t>
        </is>
      </c>
      <c r="C19" s="14" t="inlineStr">
        <is>
          <t>Экран агрегирует смены компании: общее рабочее время, перерывы, число смен и уникальных операторов.</t>
        </is>
      </c>
      <c r="D19" s="14" t="inlineStr">
        <is>
          <t>У РОП есть минимум два оператора с известными сменами и перерывами в выбранной неделе.</t>
        </is>
      </c>
      <c r="E19" s="14" t="inlineStr">
        <is>
          <t>1. Открой «Посещаемость».
2. Проверь столбцы «Оператор», «Дата», «Начало», «Конец», «Отработано», «Перерыв», «Перерывы».
3. Сверь строки двух операторов с их собственными недельными экранами.
4. Вручную сложи рабочее время, перерывы и посчитай строки и уникальных людей.
5. Сравни четыре KPI сверху.</t>
        </is>
      </c>
      <c r="F19" s="16" t="inlineStr">
        <is>
          <t>Critical</t>
        </is>
      </c>
      <c r="G19" s="16" t="inlineStr">
        <is>
          <t>Позитивный</t>
        </is>
      </c>
      <c r="H19" s="16" t="inlineStr">
        <is>
          <t>UI</t>
        </is>
      </c>
      <c r="I19" s="14" t="inlineStr">
        <is>
          <t>Показаны все и только смены операторов этого РОП. KPI равны сумме строк, число смен — количеству строк, «Операторы» — числу уникальных сотрудников.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70" customHeight="1">
      <c r="A20" s="16" t="inlineStr">
        <is>
          <t>TC-291</t>
        </is>
      </c>
      <c r="B20" s="14" t="inlineStr">
        <is>
          <t>РОП не читает недельную сводку чужого оператора</t>
        </is>
      </c>
      <c r="C20" s="14" t="inlineStr">
        <is>
          <t>Изоляция компаний проверяется напрямую: знание UUID сотрудника другой компании не должно раскрывать его расписание.</t>
        </is>
      </c>
      <c r="D20" s="14" t="inlineStr">
        <is>
          <t>Есть РОП-A, оператор РОП-B и его UUID. Получен токен РОП-A.</t>
        </is>
      </c>
      <c r="E20" s="14" t="inlineStr">
        <is>
          <t>1. В Postman с токеном РОП-A отправь GET `/v1/operator-work/weekly?operator_id=ID_ОПЕРАТОРА_B`.
2. Проверь код и тело ответа.
3. Открой «Посещаемость» РОП-A.
4. Поищи имя и даты оператора B.</t>
        </is>
      </c>
      <c r="F20" s="16" t="inlineStr">
        <is>
          <t>Critical</t>
        </is>
      </c>
      <c r="G20" s="16" t="inlineStr">
        <is>
          <t>Негативный</t>
        </is>
      </c>
      <c r="H20" s="16" t="inlineStr">
        <is>
          <t>API</t>
        </is>
      </c>
      <c r="I20" s="14" t="inlineStr">
        <is>
          <t>Прямой запрос получает 403 или 404 и не содержит имени, логина, времени или перерывов чужого оператора. В таблице РОП-A его нет.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83.19999999999999" customHeight="1">
      <c r="A21" s="16" t="inlineStr">
        <is>
          <t>TC-292</t>
        </is>
      </c>
      <c r="B21" s="14" t="inlineStr">
        <is>
          <t>РОП не получает онлайн-статус оператора другой компании</t>
        </is>
      </c>
      <c r="C21" s="14" t="inlineStr">
        <is>
          <t>Онлайн/офлайн — тоже персональные рабочие данные. Текущий код принимает произвольные `operator_ids` без явной проверки принадлежности РОП, поэтому это критичная проверка R-1.</t>
        </is>
      </c>
      <c r="D21" s="14" t="inlineStr">
        <is>
          <t>Оператор РОП-B сейчас онлайн, известен его UUID. Есть токен РОП-A.</t>
        </is>
      </c>
      <c r="E21" s="14" t="inlineStr">
        <is>
          <t>1. С токеном РОП-A отправь GET `/v1/operator-work/presence?operator_ids=ID_ОПЕРАТОРА_B`.
2. Проверь код и массив `items`.
3. Повтори одновременно со своим оператором A и чужим B в списке через запятую.
4. Проверь карточки операторов в интерфейсе РОП-A.</t>
        </is>
      </c>
      <c r="F21" s="16" t="inlineStr">
        <is>
          <t>Critical</t>
        </is>
      </c>
      <c r="G21" s="16" t="inlineStr">
        <is>
          <t>Негативный</t>
        </is>
      </c>
      <c r="H21" s="16" t="inlineStr">
        <is>
          <t>API</t>
        </is>
      </c>
      <c r="I21" s="14" t="inlineStr">
        <is>
          <t>Чужой ID отклонён или исключён из ответа. РОП-A не узнаёт `online` и `last_seen_at` оператора B; свой оператор A возвращается корректно.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122.8" customHeight="1">
      <c r="A22" s="16" t="inlineStr">
        <is>
          <t>TC-293</t>
        </is>
      </c>
      <c r="B22" s="14" t="inlineStr">
        <is>
          <t>Роли не обходят границы смен через прямые API-запросы</t>
        </is>
      </c>
      <c r="C22" s="14" t="inlineStr">
        <is>
          <t>Открывать смену, перерыв и heartbeat может только сам оператор. РОП читает свою посещаемость, но не меняет состояние от имени сотрудника.</t>
        </is>
      </c>
      <c r="D22" s="14" t="inlineStr">
        <is>
          <t>Есть токены супер-админа, РОП и оператора.</t>
        </is>
      </c>
      <c r="E22" s="14" t="inlineStr">
        <is>
          <t>1. С токеном РОП отправь POST `/v1/operator-work/shift`, `/break` и `/heartbeat`.
2. Повтори три запроса с токеном супер-админа.
3. С токеном оператора запроси `/presence` со своим ID.
4. С токеном оператора запроси `/weekly?operator_id=ЧУЖОЙ_ID`.
5. Проверь реальные смены через законный недельный запрос.</t>
        </is>
      </c>
      <c r="F22" s="16" t="inlineStr">
        <is>
          <t>Critical</t>
        </is>
      </c>
      <c r="G22" s="16" t="inlineStr">
        <is>
          <t>Негативный</t>
        </is>
      </c>
      <c r="H22" s="16" t="inlineStr">
        <is>
          <t>API</t>
        </is>
      </c>
      <c r="I22" s="14" t="inlineStr">
        <is>
          <t>РОП и супер-админ получают 403 на изменение смены/перерыва/heartbeat. Оператор получает 403 на presence и видит в weekly только себя, даже если передал чужой ID. Чужие состояния не изменились.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109.6" customHeight="1">
      <c r="A23" s="16" t="inlineStr">
        <is>
          <t>TC-294</t>
        </is>
      </c>
      <c r="B23" s="14" t="inlineStr">
        <is>
          <t>Супер-админ читает только указанного оператора и не удаляет смены</t>
        </is>
      </c>
      <c r="C23" s="14" t="inlineStr">
        <is>
          <t>Код даёт супер-админу точечный доступ для поддержки, но не общий список и не удаление рабочих данных.</t>
        </is>
      </c>
      <c r="D23" s="14" t="inlineStr">
        <is>
          <t>Есть токен супер-админа и UUID тестового оператора со сменой.</t>
        </is>
      </c>
      <c r="E23" s="14" t="inlineStr">
        <is>
          <t>1. Запроси GET `/v1/operator-work/weekly` без `operator_id`.
2. Повтори с корректным `operator_id` тестового оператора.
3. Повтори с ID пользователя роли РОП.
4. Попробуй DELETE `/v1/operator-work/shift?work_date=ДАТА&amp;operator_id=ID_ОПЕРАТОРА`.
5. Проверь смену законным GET.</t>
        </is>
      </c>
      <c r="F23" s="16" t="inlineStr">
        <is>
          <t>High</t>
        </is>
      </c>
      <c r="G23" s="16" t="inlineStr">
        <is>
          <t>Негативный</t>
        </is>
      </c>
      <c r="H23" s="16" t="inlineStr">
        <is>
          <t>API</t>
        </is>
      </c>
      <c r="I23" s="14" t="inlineStr">
        <is>
          <t>Без ID — 400, с оператором — только его неделя, с ID РОП — 403. DELETE супер-админа получает 403, смена остаётся.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83.19999999999999" customHeight="1">
      <c r="A24" s="16" t="inlineStr">
        <is>
          <t>TC-295</t>
        </is>
      </c>
      <c r="B24" s="14" t="inlineStr">
        <is>
          <t>Оператор удаляет только свою тестовую смену через API</t>
        </is>
      </c>
      <c r="C24" s="14" t="inlineStr">
        <is>
          <t>В коде есть удаление смены, хотя кнопки в интерфейсе нет. Проверяем осознанное удаление тестовой записи и запрет подмены `operator_id`.</t>
        </is>
      </c>
      <c r="D24" s="14" t="inlineStr">
        <is>
          <t>У отдельного тестового оператора есть закрытая смена за известную дату, которую разрешено удалить. Есть UUID чужого оператора.</t>
        </is>
      </c>
      <c r="E24" s="14" t="inlineStr">
        <is>
          <t>1. С токеном тестового оператора отправь DELETE `/v1/operator-work/shift?work_date=ГГГГ-ММ-ДД&amp;operator_id=ЧУЖОЙ_ID`.
2. Запроси свою недельную сводку.
3. Проверь сводку чужого оператора под его законным РОП.</t>
        </is>
      </c>
      <c r="F24" s="16" t="inlineStr">
        <is>
          <t>High</t>
        </is>
      </c>
      <c r="G24" s="16" t="inlineStr">
        <is>
          <t>Граничный</t>
        </is>
      </c>
      <c r="H24" s="16" t="inlineStr">
        <is>
          <t>API</t>
        </is>
      </c>
      <c r="I24" s="14" t="inlineStr">
        <is>
          <t>Удалена только собственная смена оператора за указанную дату: переданный чужой ID игнорируется для выбора цели. Чужая смена не изменилась; связанные перерывы своей смены удалены вместе с ней.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83.19999999999999" customHeight="1">
      <c r="A25" s="16" t="inlineStr">
        <is>
          <t>TC-296</t>
        </is>
      </c>
      <c r="B25" s="14" t="inlineStr">
        <is>
          <t>РОП удаляет смену только своего оператора</t>
        </is>
      </c>
      <c r="C25" s="14" t="inlineStr">
        <is>
          <t>РОП может исправить тестовую запись сотрудника своей компании, но не должен удалить историю другой компании.</t>
        </is>
      </c>
      <c r="D25" s="14" t="inlineStr">
        <is>
          <t>Есть разрешённые к удалению тестовые смены оператора A у РОП-A и оператора B у РОП-B.</t>
        </is>
      </c>
      <c r="E25" s="14" t="inlineStr">
        <is>
          <t>1. С токеном РОП-A отправь DELETE своей даты без `operator_id`.
2. Повтори с `operator_id` оператора B.
3. Проверь обе смены.
4. Отправь DELETE с ID своего оператора A.
5. Снова запроси неделю A.</t>
        </is>
      </c>
      <c r="F25" s="16" t="inlineStr">
        <is>
          <t>Critical</t>
        </is>
      </c>
      <c r="G25" s="16" t="inlineStr">
        <is>
          <t>Негативный</t>
        </is>
      </c>
      <c r="H25" s="16" t="inlineStr">
        <is>
          <t>API</t>
        </is>
      </c>
      <c r="I25" s="14" t="inlineStr">
        <is>
          <t>Без ID — 400, с чужим ID — 403/404 и смена B сохранена. С ID своего оператора удаляется только разрешённая тестовая смена A.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  <row r="26" ht="96.39999999999999" customHeight="1">
      <c r="A26" s="16" t="inlineStr">
        <is>
          <t>TC-297</t>
        </is>
      </c>
      <c r="B26" s="14" t="inlineStr">
        <is>
          <t>Неверные даты и UUID параметров отклоняются</t>
        </is>
      </c>
      <c r="C26" s="14" t="inlineStr">
        <is>
          <t>Повреждённые параметры недельной сводки и удаления не должны выбирать случайную дату или возвращать внутреннюю ошибку.</t>
        </is>
      </c>
      <c r="D26" s="14" t="inlineStr">
        <is>
          <t>Есть токен РОП и UUID своего тестового оператора.</t>
        </is>
      </c>
      <c r="E26" s="14" t="inlineStr">
        <is>
          <t>1. Запроси weekly с `week_start=2026-13-99`.
2. Запроси weekly с `week_start=текст`.
3. Запроси weekly с `operator_id=не-uuid`.
4. Отправь DELETE shift без `work_date`, затем с `work_date=31.02.2026`.
5. После каждого запроса проверь код и обычный корректный запрос.</t>
        </is>
      </c>
      <c r="F26" s="16" t="inlineStr">
        <is>
          <t>High</t>
        </is>
      </c>
      <c r="G26" s="16" t="inlineStr">
        <is>
          <t>Негативный</t>
        </is>
      </c>
      <c r="H26" s="16" t="inlineStr">
        <is>
          <t>API</t>
        </is>
      </c>
      <c r="I26" s="14" t="inlineStr">
        <is>
          <t>Неверные запросы возвращают 400 с понятным указанием поля, не 500. Ничего не удалено, следующий корректный запрос работает.</t>
        </is>
      </c>
      <c r="J26" s="14" t="inlineStr"/>
      <c r="K26" s="16" t="inlineStr">
        <is>
          <t>Not Run</t>
        </is>
      </c>
      <c r="L26" s="16" t="inlineStr">
        <is>
          <t>—</t>
        </is>
      </c>
    </row>
    <row r="27" ht="109.6" customHeight="1">
      <c r="A27" s="16" t="inlineStr">
        <is>
          <t>TC-298</t>
        </is>
      </c>
      <c r="B27" s="14" t="inlineStr">
        <is>
          <t>Активный оператор становится онлайн после heartbeat</t>
        </is>
      </c>
      <c r="C27" s="14" t="inlineStr">
        <is>
          <t>Кабинет отправляет heartbeat сразу после входа и каждые 30 секунд. РОП видит оператора онлайн, если сигнал был менее 90 секунд назад.</t>
        </is>
      </c>
      <c r="D27" s="14" t="inlineStr">
        <is>
          <t>Оператор сейчас офлайн. РОП открыл список операторов в другой вкладке.</t>
        </is>
      </c>
      <c r="E27" s="14" t="inlineStr">
        <is>
          <t>1. Войди под оператором и оставь кабинет открытым.
2. В Network проверь POST `/v1/operator-work/heartbeat` сразу после входа.
3. Подожди чуть больше 30 секунд и проверь следующий POST.
4. Под РОП обнови список или дождись его 30-секундного обновления.
5. Открой карточку этого оператора.</t>
        </is>
      </c>
      <c r="F27" s="16" t="inlineStr">
        <is>
          <t>High</t>
        </is>
      </c>
      <c r="G27" s="16" t="inlineStr">
        <is>
          <t>Позитивный</t>
        </is>
      </c>
      <c r="H27" s="16" t="inlineStr">
        <is>
          <t>UI+API</t>
        </is>
      </c>
      <c r="I27" s="14" t="inlineStr">
        <is>
          <t>Heartbeat отвечает `ok`, отправляется примерно каждые 30 секунд. У РОП оператор помечен онлайн, и только один ID соответствует этой отметке.</t>
        </is>
      </c>
      <c r="J27" s="14" t="inlineStr"/>
      <c r="K27" s="16" t="inlineStr">
        <is>
          <t>Not Run</t>
        </is>
      </c>
      <c r="L27" s="16" t="inlineStr">
        <is>
          <t>—</t>
        </is>
      </c>
    </row>
    <row r="28" ht="83.19999999999999" customHeight="1">
      <c r="A28" s="16" t="inlineStr">
        <is>
          <t>TC-299</t>
        </is>
      </c>
      <c r="B28" s="14" t="inlineStr">
        <is>
          <t>Оператор становится офлайн спустя 90 секунд без heartbeat</t>
        </is>
      </c>
      <c r="C28" s="14" t="inlineStr">
        <is>
          <t>Закрытая вкладка или потеря сети не должны оставлять сотрудника онлайн навсегда.</t>
        </is>
      </c>
      <c r="D28" s="14" t="inlineStr">
        <is>
          <t>Оператор показан онлайн у РОП.</t>
        </is>
      </c>
      <c r="E28" s="14" t="inlineStr">
        <is>
          <t>1. Закрой все вкладки оператора или заблокируй только heartbeat.
2. Через 60 секунд проверь presence — оператор ещё может быть онлайн.
3. Через 91–120 секунд снова запроси presence.
4. Дождись обновления списка РОП.</t>
        </is>
      </c>
      <c r="F28" s="16" t="inlineStr">
        <is>
          <t>High</t>
        </is>
      </c>
      <c r="G28" s="16" t="inlineStr">
        <is>
          <t>Граничный</t>
        </is>
      </c>
      <c r="H28" s="16" t="inlineStr">
        <is>
          <t>UI+API</t>
        </is>
      </c>
      <c r="I28" s="14" t="inlineStr">
        <is>
          <t>До границы статус не пропадает преждевременно. После более чем 90 секунд `online=false`, РОП видит офлайн не позднее следующего 30-секундного обновления.</t>
        </is>
      </c>
      <c r="J28" s="14" t="inlineStr"/>
      <c r="K28" s="16" t="inlineStr">
        <is>
          <t>Not Run</t>
        </is>
      </c>
      <c r="L28" s="16" t="inlineStr">
        <is>
          <t>—</t>
        </is>
      </c>
    </row>
    <row r="29" ht="70" customHeight="1">
      <c r="A29" s="16" t="inlineStr">
        <is>
          <t>TC-300</t>
        </is>
      </c>
      <c r="B29" s="14" t="inlineStr">
        <is>
          <t>Возврат фокуса сразу восстанавливает heartbeat</t>
        </is>
      </c>
      <c r="C29" s="14" t="inlineStr">
        <is>
          <t>После сна компьютера или долгой фоновой вкладки приложение отправляет сигнал при возвращении пользователя, не ожидая очередных 30 секунд.</t>
        </is>
      </c>
      <c r="D29" s="14" t="inlineStr">
        <is>
          <t>Оператор авторизован, вкладка долго была в фоне или heartbeat временно блокировался.</t>
        </is>
      </c>
      <c r="E29" s="14" t="inlineStr">
        <is>
          <t>1. Открой Network и очисти список.
2. Переключись из другой программы обратно во вкладку оператора.
3. Проверь немедленный POST heartbeat.
4. Под РОП обнови карточку оператора.</t>
        </is>
      </c>
      <c r="F29" s="16" t="inlineStr">
        <is>
          <t>Medium</t>
        </is>
      </c>
      <c r="G29" s="16" t="inlineStr">
        <is>
          <t>Позитивный</t>
        </is>
      </c>
      <c r="H29" s="16" t="inlineStr">
        <is>
          <t>UI+API</t>
        </is>
      </c>
      <c r="I29" s="14" t="inlineStr">
        <is>
          <t>При фокусе отправлен один heartbeat без 30-секундного ожидания. После успешного ответа оператор снова онлайн; лишней серии одинаковых запросов нет.</t>
        </is>
      </c>
      <c r="J29" s="14" t="inlineStr"/>
      <c r="K29" s="16" t="inlineStr">
        <is>
          <t>Not Run</t>
        </is>
      </c>
      <c r="L29" s="16" t="inlineStr">
        <is>
          <t>—</t>
        </is>
      </c>
    </row>
    <row r="30" ht="96.39999999999999" customHeight="1">
      <c r="A30" s="16" t="inlineStr">
        <is>
          <t>TC-301</t>
        </is>
      </c>
      <c r="B30" s="14" t="inlineStr">
        <is>
          <t>Сбой heartbeat не блокирует работу оператора</t>
        </is>
      </c>
      <c r="C30" s="14" t="inlineStr">
        <is>
          <t>Присутствие — вспомогательная функция. Код намеренно игнорирует ошибку heartbeat, поэтому звонки и формы должны продолжать работать.</t>
        </is>
      </c>
      <c r="D30" s="14" t="inlineStr">
        <is>
          <t>На staging безопасно заблокирован только POST `/v1/operator-work/heartbeat`, остальные API доступны.</t>
        </is>
      </c>
      <c r="E30" s="14" t="inlineStr">
        <is>
          <t>1. Войди под оператором.
2. Дождись неуспешного heartbeat.
3. Открой «Звонки», «Рабочее время» и тестовую карточку.
4. Выполни безопасное чтение и одно разрешённое действие.
5. Верни heartbeat и сфокусируй вкладку.</t>
        </is>
      </c>
      <c r="F30" s="16" t="inlineStr">
        <is>
          <t>Medium</t>
        </is>
      </c>
      <c r="G30" s="16" t="inlineStr">
        <is>
          <t>Негативный</t>
        </is>
      </c>
      <c r="H30" s="16" t="inlineStr">
        <is>
          <t>UI+API</t>
        </is>
      </c>
      <c r="I30" s="14" t="inlineStr">
        <is>
          <t>Кабинет не падает и не показывает бесконечную общую ошибку. Основные API работают; у РОП оператор временно офлайн. После восстановления новый heartbeat проходит.</t>
        </is>
      </c>
      <c r="J30" s="14" t="inlineStr"/>
      <c r="K30" s="16" t="inlineStr">
        <is>
          <t>Not Run</t>
        </is>
      </c>
      <c r="L30" s="16" t="inlineStr">
        <is>
          <t>—</t>
        </is>
      </c>
    </row>
    <row r="31" ht="83.19999999999999" customHeight="1">
      <c r="A31" s="16" t="inlineStr">
        <is>
          <t>TC-302</t>
        </is>
      </c>
      <c r="B31" s="14" t="inlineStr">
        <is>
          <t>Забытая смена прошлого дня закрывается в 23:59:59 по Ташкенту</t>
        </is>
      </c>
      <c r="C31" s="14" t="inlineStr">
        <is>
          <t>До будущей автопаузы действует текущий механизм: планировщик каждые 30 минут закрывает все открытые смены прошлых дат концом их дня.</t>
        </is>
      </c>
      <c r="D31" s="14" t="inlineStr">
        <is>
          <t>На staging подготовлена открытая тестовая смена за вчера без активного перерыва. Фоновый планировщик включён.</t>
        </is>
      </c>
      <c r="E31" s="14" t="inlineStr">
        <is>
          <t>1. Запиши дату и время начала вчерашней смены.
2. Перезапусти тестовый сервис или дождись ближайшего прохода планировщика.
3. Запроси неделю оператора.
4. Проверь `shift_closed_at` и рабочую длительность.
5. Дождись ещё одного прохода и проверь повторно.</t>
        </is>
      </c>
      <c r="F31" s="16" t="inlineStr">
        <is>
          <t>High</t>
        </is>
      </c>
      <c r="G31" s="16" t="inlineStr">
        <is>
          <t>Граничный</t>
        </is>
      </c>
      <c r="H31" s="16" t="inlineStr">
        <is>
          <t>API</t>
        </is>
      </c>
      <c r="I31" s="14" t="inlineStr">
        <is>
          <t>Смена закрыта один раз на 23:59:59 своей даты в часовом поясе Asia/Tashkent. Повторный проход не меняет время и длительность, сегодняшние смены не затронуты.</t>
        </is>
      </c>
      <c r="J31" s="14" t="inlineStr"/>
      <c r="K31" s="16" t="inlineStr">
        <is>
          <t>Not Run</t>
        </is>
      </c>
      <c r="L31" s="16" t="inlineStr">
        <is>
          <t>—</t>
        </is>
      </c>
    </row>
    <row r="32" ht="83.19999999999999" customHeight="1">
      <c r="A32" s="16" t="inlineStr">
        <is>
          <t>TC-303</t>
        </is>
      </c>
      <c r="B32" s="14" t="inlineStr">
        <is>
          <t>Автозакрытие завершает активный перерыв прошлого дня</t>
        </is>
      </c>
      <c r="C32" s="14" t="inlineStr">
        <is>
          <t>Если оператор забыл и перерыв, планировщик должен включить его время в сумму перерывов и очистить активное состояние перед закрытием смены.</t>
        </is>
      </c>
      <c r="D32" s="14" t="inlineStr">
        <is>
          <t>Подготовлена открытая смена за вчера с открытым перерывом и известным временем его начала.</t>
        </is>
      </c>
      <c r="E32" s="14" t="inlineStr">
        <is>
          <t>1. Запиши накопленную длительность и время начала активного перерыва.
2. Запусти или дождись автозакрытия.
3. Запроси недельную сводку.
4. Проверь конец смены, активный перерыв, число и длительность перерывов.</t>
        </is>
      </c>
      <c r="F32" s="16" t="inlineStr">
        <is>
          <t>High</t>
        </is>
      </c>
      <c r="G32" s="16" t="inlineStr">
        <is>
          <t>Граничный</t>
        </is>
      </c>
      <c r="H32" s="16" t="inlineStr">
        <is>
          <t>API</t>
        </is>
      </c>
      <c r="I32" s="14" t="inlineStr">
        <is>
          <t>Смена закрыта в 23:59:59, `active_break_started_at` очищен. Время от начала перерыва до конца суток добавлено в перерывы, рабочее время неотрицательно.</t>
        </is>
      </c>
      <c r="J32" s="14" t="inlineStr"/>
      <c r="K32" s="16" t="inlineStr">
        <is>
          <t>Not Run</t>
        </is>
      </c>
      <c r="L32" s="16" t="inlineStr">
        <is>
          <t>—</t>
        </is>
      </c>
    </row>
    <row r="33" ht="70" customHeight="1">
      <c r="A33" s="16" t="inlineStr">
        <is>
          <t>TC-304</t>
        </is>
      </c>
      <c r="B33" s="14" t="inlineStr">
        <is>
          <t>Планировщик не закрывает открытую смену текущего дня</t>
        </is>
      </c>
      <c r="C33" s="14" t="inlineStr">
        <is>
          <t>Текущий механизм работает по смене даты, а не по бездействию. До реализации автопаузы дневная смена не должна закрыться через 30 минут тишины.</t>
        </is>
      </c>
      <c r="D33" s="14" t="inlineStr">
        <is>
          <t>Сегодня открыта тестовая смена, активного перерыва нет. Звонков и действий некоторое время нет.</t>
        </is>
      </c>
      <c r="E33" s="14" t="inlineStr">
        <is>
          <t>1. Запиши состояние и время начала.
2. Дождись прохода автозакрытия либо запусти его на staging согласованным способом.
3. Запроси weekly и обнови экран.
4. Проверь `shift_closed_at`.</t>
        </is>
      </c>
      <c r="F33" s="16" t="inlineStr">
        <is>
          <t>High</t>
        </is>
      </c>
      <c r="G33" s="16" t="inlineStr">
        <is>
          <t>Негативный</t>
        </is>
      </c>
      <c r="H33" s="16" t="inlineStr">
        <is>
          <t>UI+API</t>
        </is>
      </c>
      <c r="I33" s="14" t="inlineStr">
        <is>
          <t>Сегодняшняя смена остаётся открытой, `shift_closed_at` пуст. Автопауза по бездействию не ожидается до отдельной реализации по Q-16.</t>
        </is>
      </c>
      <c r="J33" s="14" t="inlineStr"/>
      <c r="K33" s="16" t="inlineStr">
        <is>
          <t>Not Run</t>
        </is>
      </c>
      <c r="L33" s="16" t="inlineStr">
        <is>
          <t>—</t>
        </is>
      </c>
    </row>
    <row r="34" ht="96.39999999999999" customHeight="1">
      <c r="A34" s="16" t="inlineStr">
        <is>
          <t>TC-305</t>
        </is>
      </c>
      <c r="B34" s="14" t="inlineStr">
        <is>
          <t>Смена после полуночи относится к новой дате Ташкента</t>
        </is>
      </c>
      <c r="C34" s="14" t="inlineStr">
        <is>
          <t>Рабочий день вычисляется в Asia/Tashkent. Открытие сразу после местной полуночи не должно попасть во вчерашнюю UTC-дату.</t>
        </is>
      </c>
      <c r="D34" s="14" t="inlineStr">
        <is>
          <t>Проверка выполняется на отдельном тестовом операторе около полуночи или с контролируемым временем staging.</t>
        </is>
      </c>
      <c r="E34" s="14" t="inlineStr">
        <is>
          <t>1. Подготовь время 00:00–00:05 по Ташкенту.
2. Нажми «Начать смену».
3. Запроси недельную сводку и найди новую запись.
4. Сравни `work_date`, `shift_started_at` и местный календарь.
5. Проверь, что вчерашняя закрытая смена не изменилась.</t>
        </is>
      </c>
      <c r="F34" s="16" t="inlineStr">
        <is>
          <t>Critical</t>
        </is>
      </c>
      <c r="G34" s="16" t="inlineStr">
        <is>
          <t>Граничный</t>
        </is>
      </c>
      <c r="H34" s="16" t="inlineStr">
        <is>
          <t>UI+API</t>
        </is>
      </c>
      <c r="I34" s="14" t="inlineStr">
        <is>
          <t>`work_date` равен новой местной дате, время начала соответствует моменту после полуночи. Не получена ошибка «смена уже закрыта», вчерашняя запись не переоткрыта.</t>
        </is>
      </c>
      <c r="J34" s="14" t="inlineStr"/>
      <c r="K34" s="16" t="inlineStr">
        <is>
          <t>Not Run</t>
        </is>
      </c>
      <c r="L34" s="16" t="inlineStr">
        <is>
          <t>—</t>
        </is>
      </c>
    </row>
    <row r="35" ht="83.19999999999999" customHeight="1">
      <c r="A35" s="16" t="inlineStr">
        <is>
          <t>TC-306</t>
        </is>
      </c>
      <c r="B35" s="14" t="inlineStr">
        <is>
          <t>Пустая неделя показывает понятное состояние без нулевых фантомов</t>
        </is>
      </c>
      <c r="C35" s="14" t="inlineStr">
        <is>
          <t>Если смен не было, РОП и оператор должны видеть объяснение, а не пустую сломанную таблицу или фиктивную смену.</t>
        </is>
      </c>
      <c r="D35" s="14" t="inlineStr">
        <is>
          <t>Выбрана неделя, в которой у тестовой компании нет ни одной смены.</t>
        </is>
      </c>
      <c r="E35" s="14" t="inlineStr">
        <is>
          <t>1. Под РОП открой «Посещаемость» и перейди на пустую неделю.
2. Проверь карточку и KPI.
3. Под оператором запроси ту же пустую неделю через API.
4. Проверь `week_start`, `week_end` и `items`.</t>
        </is>
      </c>
      <c r="F35" s="16" t="inlineStr">
        <is>
          <t>Low</t>
        </is>
      </c>
      <c r="G35" s="16" t="inlineStr">
        <is>
          <t>Граничный</t>
        </is>
      </c>
      <c r="H35" s="16" t="inlineStr">
        <is>
          <t>UI+API</t>
        </is>
      </c>
      <c r="I35" s="14" t="inlineStr">
        <is>
          <t>РОП видит «На этой неделе нет записей о сменах», без вводящих в заблуждение KPI. API возвращает 200, правильный диапазон и пустой массив `items`, не `null`.</t>
        </is>
      </c>
      <c r="J35" s="14" t="inlineStr"/>
      <c r="K35" s="16" t="inlineStr">
        <is>
          <t>Not Run</t>
        </is>
      </c>
      <c r="L35" s="16" t="inlineStr">
        <is>
          <t>—</t>
        </is>
      </c>
    </row>
    <row r="36" ht="96.39999999999999" customHeight="1">
      <c r="A36" s="16" t="inlineStr">
        <is>
          <t>TC-307</t>
        </is>
      </c>
      <c r="B36" s="14" t="inlineStr">
        <is>
          <t>Длинные имена операторов не ломают таблицу посещаемости</t>
        </is>
      </c>
      <c r="C36" s="14" t="inlineStr">
        <is>
          <t>Имя приходит из пользовательских данных и может быть очень длинным. Таблица должна оставаться читаемой на широком и мобильном экране.</t>
        </is>
      </c>
      <c r="D36" s="14" t="inlineStr">
        <is>
          <t>У тестового оператора разрешено временно установить имя и фамилию общей длиной около 250 символов; у него есть смена.</t>
        </is>
      </c>
      <c r="E36" s="14" t="inlineStr">
        <is>
          <t>1. Под РОП открой «Посещаемость» на широком экране.
2. Найди строку оператора с длинным именем.
3. Переключи браузер на ширину около 360 пикселей.
4. Прокрути таблицу по горизонтали и проверь остальные столбцы.
5. Открой карточку оператора и затем верни обычное имя.</t>
        </is>
      </c>
      <c r="F36" s="16" t="inlineStr">
        <is>
          <t>Medium</t>
        </is>
      </c>
      <c r="G36" s="16" t="inlineStr">
        <is>
          <t>Граничный</t>
        </is>
      </c>
      <c r="H36" s="16" t="inlineStr">
        <is>
          <t>UI</t>
        </is>
      </c>
      <c r="I36" s="14" t="inlineStr">
        <is>
          <t>Имя переносится, обрезается с доступным полным значением или расширяет только свою ячейку. Даты, время и кнопки доступны, таблица не выходит навсегда за экран.</t>
        </is>
      </c>
      <c r="J36" s="14" t="inlineStr"/>
      <c r="K36" s="16" t="inlineStr">
        <is>
          <t>Not Run</t>
        </is>
      </c>
      <c r="L36" s="16" t="inlineStr">
        <is>
          <t>—</t>
        </is>
      </c>
    </row>
  </sheetData>
  <autoFilter ref="A1:L36"/>
  <conditionalFormatting sqref="K2:K6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66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66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66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109.6" customHeight="1">
      <c r="A2" s="16" t="inlineStr">
        <is>
          <t>TC-308</t>
        </is>
      </c>
      <c r="B2" s="14" t="inlineStr">
        <is>
          <t>Главная страница лендинга открывается целиком</t>
        </is>
      </c>
      <c r="C2" s="14" t="inlineStr">
        <is>
          <t>Проверяем публичную страницу Operator AI от верхнего меню до подвала. Посетитель должен увидеть предложение продукта, возможности, тарифы и форму демо, даже если он открыл сайт впервые и не входил в админку.</t>
        </is>
      </c>
      <c r="D2" s="14" t="inlineStr">
        <is>
          <t>Открыто приватное окно браузера. Известен адрес лендинга тестового стенда.</t>
        </is>
      </c>
      <c r="E2" s="14" t="inlineStr">
        <is>
          <t>1. Открой адрес лендинга staging.
2. Прокрути страницу сверху вниз.
3. Проверь блоки «Qanday ishlaydi», «Imkoniyatlar», «Tariflar» и «Demo».
4. Проверь логотип Operator AI и подпись `© 2026 Operator AI · Yurtal` внизу.
5. Открой инструменты браузера и убедись, что страница не показала красных ошибок загрузки.</t>
        </is>
      </c>
      <c r="F2" s="16" t="inlineStr">
        <is>
          <t>Medium</t>
        </is>
      </c>
      <c r="G2" s="16" t="inlineStr">
        <is>
          <t>Позитивный</t>
        </is>
      </c>
      <c r="H2" s="16" t="inlineStr">
        <is>
          <t>UI</t>
        </is>
      </c>
      <c r="I2" s="14" t="inlineStr">
        <is>
          <t>Страница открывается без входа и без пустых белых блоков. Есть один главный заголовок про AI-контроль звонков, все основные разделы и форма запроса демо; ошибок загрузки приложения нет.</t>
        </is>
      </c>
      <c r="J2" s="14" t="inlineStr"/>
      <c r="K2" s="16" t="inlineStr">
        <is>
          <t>Not Run</t>
        </is>
      </c>
      <c r="L2" s="16" t="inlineStr">
        <is>
          <t>—</t>
        </is>
      </c>
    </row>
    <row r="3" ht="109.6" customHeight="1">
      <c r="A3" s="16" t="inlineStr">
        <is>
          <t>TC-309</t>
        </is>
      </c>
      <c r="B3" s="14" t="inlineStr">
        <is>
          <t>Меню и кнопки Demo ведут к нужным разделам</t>
        </is>
      </c>
      <c r="C3" s="14" t="inlineStr">
        <is>
          <t>Ссылки на одностраничном лендинге должны прокручивать к реальному разделу, а не перезагружать страницу или вести на пустой адрес.</t>
        </is>
      </c>
      <c r="D3" s="14" t="inlineStr">
        <is>
          <t>Лендинг staging открыт в начале страницы.</t>
        </is>
      </c>
      <c r="E3" s="14" t="inlineStr">
        <is>
          <t>1. Нажми `Qanday ishlaydi` в верхнем меню.
2. Проверь, что появился блок «Uch qadam — nazorat to'liq».
3. Нажми `Imkoniyatlar`, затем `Tariflar` и каждый раз проверь заголовок раздела.
4. Нажми верхнюю кнопку `Demo so'rash`.
5. Вернись наверх и нажми кнопку `Demo so'rash` в одной карточке тарифа.</t>
        </is>
      </c>
      <c r="F3" s="16" t="inlineStr">
        <is>
          <t>Low</t>
        </is>
      </c>
      <c r="G3" s="16" t="inlineStr">
        <is>
          <t>Позитивный</t>
        </is>
      </c>
      <c r="H3" s="16" t="inlineStr">
        <is>
          <t>UI</t>
        </is>
      </c>
      <c r="I3" s="14" t="inlineStr">
        <is>
          <t>Каждая ссылка прокручивает к соответствующему разделу этой же страницы. Обе кнопки Demo приводят к форме с полями `Ismingiz`, `Telefon`, `Kompaniya`, CRM и тариф; новая пустая вкладка не открывается.</t>
        </is>
      </c>
      <c r="J3" s="14" t="inlineStr"/>
      <c r="K3" s="16" t="inlineStr">
        <is>
          <t>Not Run</t>
        </is>
      </c>
      <c r="L3" s="16" t="inlineStr">
        <is>
          <t>—</t>
        </is>
      </c>
    </row>
    <row r="4" ht="96.39999999999999" customHeight="1">
      <c r="A4" s="16" t="inlineStr">
        <is>
          <t>TC-310</t>
        </is>
      </c>
      <c r="B4" s="14" t="inlineStr">
        <is>
          <t>Лендинг показывает актуальные активные тарифы</t>
        </is>
      </c>
      <c r="C4" s="14" t="inlineStr">
        <is>
          <t>Карточки тарифов загружаются из публичного API. Проверяем сквозную связь с редактором: активные тарифы идут в заданном порядке, выключенные не рекламируются.</t>
        </is>
      </c>
      <c r="D4" s="14" t="inlineStr">
        <is>
          <t>Под супер-админом записаны текущие значения трёх тарифов. Один тестовый тариф можно временно выключить и затем вернуть.</t>
        </is>
      </c>
      <c r="E4" s="14" t="inlineStr">
        <is>
          <t>1. Открой лендинг и запиши порядок, названия и цены карточек.
2. В админке измени описание одного тарифа и временно выключи другой.
3. Открой лендинг в новом приватном окне.
4. Сравни карточки с настройками админки.
5. Верни исходное описание и включи тариф обратно.</t>
        </is>
      </c>
      <c r="F4" s="16" t="inlineStr">
        <is>
          <t>High</t>
        </is>
      </c>
      <c r="G4" s="16" t="inlineStr">
        <is>
          <t>Позитивный</t>
        </is>
      </c>
      <c r="H4" s="16" t="inlineStr">
        <is>
          <t>UI+API</t>
        </is>
      </c>
      <c r="I4" s="14" t="inlineStr">
        <is>
          <t>Лендинг показывает только активные тарифы, в порядке поля `sort`, с актуальным названием, ценой, описанием и возможностями. После возврата настроек все три карточки снова доступны.</t>
        </is>
      </c>
      <c r="J4" s="14" t="inlineStr"/>
      <c r="K4" s="16" t="inlineStr">
        <is>
          <t>Not Run</t>
        </is>
      </c>
      <c r="L4" s="16" t="inlineStr">
        <is>
          <t>—</t>
        </is>
      </c>
    </row>
    <row r="5" ht="109.6" customHeight="1">
      <c r="A5" s="16" t="inlineStr">
        <is>
          <t>TC-311</t>
        </is>
      </c>
      <c r="B5" s="14" t="inlineStr">
        <is>
          <t>Лендинг читается на телефоне и при увеличении 200%</t>
        </is>
      </c>
      <c r="C5" s="14" t="inlineStr">
        <is>
          <t>Человек может открыть рекламу с телефона или увеличить страницу из-за плохого зрения. Текст, тарифы и форма не должны уходить за экран.</t>
        </is>
      </c>
      <c r="D5" s="14" t="inlineStr">
        <is>
          <t>Лендинг открыт в браузере с инструментами разработчика.</t>
        </is>
      </c>
      <c r="E5" s="14" t="inlineStr">
        <is>
          <t>1. Установи ширину экрана 360 пикселей.
2. Прокрути страницу от начала до формы Demo.
3. Открой каждый список формы и проверь кнопку `Demo so'rash`.
4. Верни широкое окно и увеличь масштаб браузера до 200%.
5. Повтори прокрутку и попробуй перейти по верхним ссылкам.</t>
        </is>
      </c>
      <c r="F5" s="16" t="inlineStr">
        <is>
          <t>Medium</t>
        </is>
      </c>
      <c r="G5" s="16" t="inlineStr">
        <is>
          <t>Граничный</t>
        </is>
      </c>
      <c r="H5" s="16" t="inlineStr">
        <is>
          <t>UI</t>
        </is>
      </c>
      <c r="I5" s="14" t="inlineStr">
        <is>
          <t>Нет постоянной горизонтальной прокрутки и наложения текста. Верхние текстовые ссылки на телефоне могут быть скрыты, но кнопка Demo, все поля формы, тарифы и содержимое страницы остаются доступными.</t>
        </is>
      </c>
      <c r="J5" s="14" t="inlineStr"/>
      <c r="K5" s="16" t="inlineStr">
        <is>
          <t>Not Run</t>
        </is>
      </c>
      <c r="L5" s="16" t="inlineStr">
        <is>
          <t>—</t>
        </is>
      </c>
    </row>
    <row r="6" ht="109.6" customHeight="1">
      <c r="A6" s="16" t="inlineStr">
        <is>
          <t>TC-312</t>
        </is>
      </c>
      <c r="B6" s="14" t="inlineStr">
        <is>
          <t>Форму Demo можно заполнить только клавиатурой</t>
        </is>
      </c>
      <c r="C6" s="14" t="inlineStr">
        <is>
          <t>Поля имеют видимые подписи и правильный порядок. Это позволяет пользоваться формой без мыши и помогает экранным дикторам объяснить назначение полей.</t>
        </is>
      </c>
      <c r="D6" s="14" t="inlineStr">
        <is>
          <t>Лендинг открыт, указатель мыши не используется.</t>
        </is>
      </c>
      <c r="E6" s="14" t="inlineStr">
        <is>
          <t>1. Клавишей Tab перейди от верхней кнопки Demo к форме.
2. Последовательно пройди поля `Ismingiz`, `Telefon`, `Kompaniya`, CRM и тариф.
3. Выбери варианты в списках клавишами со стрелками.
4. Перейди на кнопку `Demo so'rash`.
5. Проверь, что рамка фокуса видна на каждом активном элементе.</t>
        </is>
      </c>
      <c r="F6" s="16" t="inlineStr">
        <is>
          <t>Medium</t>
        </is>
      </c>
      <c r="G6" s="16" t="inlineStr">
        <is>
          <t>Позитивный</t>
        </is>
      </c>
      <c r="H6" s="16" t="inlineStr">
        <is>
          <t>UI</t>
        </is>
      </c>
      <c r="I6" s="14" t="inlineStr">
        <is>
          <t>Фокус движется в понятном порядке, не пропадает и не застревает. Каждое поле связано с видимой подписью, списки и кнопка работают с клавиатуры.</t>
        </is>
      </c>
      <c r="J6" s="14" t="inlineStr"/>
      <c r="K6" s="16" t="inlineStr">
        <is>
          <t>Not Run</t>
        </is>
      </c>
      <c r="L6" s="16" t="inlineStr">
        <is>
          <t>—</t>
        </is>
      </c>
    </row>
    <row r="7" ht="70" customHeight="1">
      <c r="A7" s="16" t="inlineStr">
        <is>
          <t>TC-313</t>
        </is>
      </c>
      <c r="B7" s="14" t="inlineStr">
        <is>
          <t>Отключение анимации оставляет весь текст видимым</t>
        </is>
      </c>
      <c r="C7" s="14" t="inlineStr">
        <is>
          <t>При системной настройке «уменьшить движение» подсветка курсора, волна и появления отключаются, но содержимое нельзя скрывать вместе с анимацией.</t>
        </is>
      </c>
      <c r="D7" s="14" t="inlineStr">
        <is>
          <t>В операционной системе или инструментах браузера включено `prefers-reduced-motion: reduce`.</t>
        </is>
      </c>
      <c r="E7" s="14" t="inlineStr">
        <is>
          <t>1. Обнови лендинг.
2. Прокрути страницу сверху вниз.
3. Проверь тексты карточек, шагов, тарифов и формы.
4. Посмотри на волну звонка и двигающуюся подсветку курсора.</t>
        </is>
      </c>
      <c r="F7" s="16" t="inlineStr">
        <is>
          <t>Low</t>
        </is>
      </c>
      <c r="G7" s="16" t="inlineStr">
        <is>
          <t>Граничный</t>
        </is>
      </c>
      <c r="H7" s="16" t="inlineStr">
        <is>
          <t>UI</t>
        </is>
      </c>
      <c r="I7" s="14" t="inlineStr">
        <is>
          <t>Все тексты сразу видны. Плавная прокрутка, пульсация, волна и подсветка курсора не двигаются; страница и ссылки продолжают работать.</t>
        </is>
      </c>
      <c r="J7" s="14" t="inlineStr"/>
      <c r="K7" s="16" t="inlineStr">
        <is>
          <t>Not Run</t>
        </is>
      </c>
      <c r="L7" s="16" t="inlineStr">
        <is>
          <t>—</t>
        </is>
      </c>
    </row>
    <row r="8" ht="122.8" customHeight="1">
      <c r="A8" s="16" t="inlineStr">
        <is>
          <t>TC-314</t>
        </is>
      </c>
      <c r="B8" s="14" t="inlineStr">
        <is>
          <t>Демо-заявка проходит путь от сайта до админки</t>
        </is>
      </c>
      <c r="C8" s="14" t="inlineStr">
        <is>
          <t>Главный сквозной сценарий лендинга: посетитель отправляет данные, система сохраняет их в своей базе, а супер-админ видит новую заявку. Потеря такой записи означает потерю потенциального клиента.</t>
        </is>
      </c>
      <c r="D8" s="14" t="inlineStr">
        <is>
          <t>Подготовлены уникальный тестовый телефон, имя и компания. В отдельной вкладке супер-админ вошёл в staging.</t>
        </is>
      </c>
      <c r="E8" s="14" t="inlineStr">
        <is>
          <t>1. На лендинге заполни `Ismingiz`, `Telefon` и `Kompaniya` тестовыми данными.
2. Выбери CRM и любой тариф.
3. Нажми `Demo so'rash` один раз.
4. Проверь сообщение `So'rov qabul qilindi` и не закрывай страницу.
5. В админке открой «Лиды» и найди запись по уникальному телефону.
6. Открой карточку и сравни все поля с формой.</t>
        </is>
      </c>
      <c r="F8" s="16" t="inlineStr">
        <is>
          <t>Critical</t>
        </is>
      </c>
      <c r="G8" s="16" t="inlineStr">
        <is>
          <t>Позитивный</t>
        </is>
      </c>
      <c r="H8" s="16" t="inlineStr">
        <is>
          <t>UI+API</t>
        </is>
      </c>
      <c r="I8" s="14" t="inlineStr">
        <is>
          <t>Форма без перехода на другую страницу сообщает о приёме. В разделе «Лиды» появляется ровно одна новая запись с теми же именем, телефоном, компанией, CRM и тарифом; статус — «РОП не создан».</t>
        </is>
      </c>
      <c r="J8" s="14" t="inlineStr"/>
      <c r="K8" s="16" t="inlineStr">
        <is>
          <t>Not Run</t>
        </is>
      </c>
      <c r="L8" s="16" t="inlineStr">
        <is>
          <t>—</t>
        </is>
      </c>
    </row>
    <row r="9" ht="70" customHeight="1">
      <c r="A9" s="16" t="inlineStr">
        <is>
          <t>TC-315</t>
        </is>
      </c>
      <c r="B9" s="14" t="inlineStr">
        <is>
          <t>Все варианты CRM сохраняются без подмены</t>
        </is>
      </c>
      <c r="C9" s="14" t="inlineStr">
        <is>
          <t>Лендинг переводит четыре понятных посетителю варианта в три значения сервера. Особенно важно проверить `CRM ishlatmaymiz`: сервер хранит его как `Boshqa`.</t>
        </is>
      </c>
      <c r="D9" s="14" t="inlineStr">
        <is>
          <t>Подготовлены четыре уникальных тестовых телефона.</t>
        </is>
      </c>
      <c r="E9" s="14" t="inlineStr">
        <is>
          <t>1. Отправь отдельную заявку с `amoCRM`.
2. Отправь вторую с `Bitrix24`.
3. Отправь третью с `Boshqa`.
4. Отправь четвёртую с `CRM ishlatmaymiz`.
5. В админке открой четыре карточки и сравни поле CRM.</t>
        </is>
      </c>
      <c r="F9" s="16" t="inlineStr">
        <is>
          <t>High</t>
        </is>
      </c>
      <c r="G9" s="16" t="inlineStr">
        <is>
          <t>Позитивный</t>
        </is>
      </c>
      <c r="H9" s="16" t="inlineStr">
        <is>
          <t>UI+API</t>
        </is>
      </c>
      <c r="I9" s="14" t="inlineStr">
        <is>
          <t>Первая карточка содержит `AmoCRM`, вторая — `Bitrix`, третья и четвёртая — `Boshqa`. Заявки не отклонены из-за различия подписей лендинга и значений API.</t>
        </is>
      </c>
      <c r="J9" s="14" t="inlineStr"/>
      <c r="K9" s="16" t="inlineStr">
        <is>
          <t>Not Run</t>
        </is>
      </c>
      <c r="L9" s="16" t="inlineStr">
        <is>
          <t>—</t>
        </is>
      </c>
    </row>
    <row r="10" ht="83.19999999999999" customHeight="1">
      <c r="A10" s="16" t="inlineStr">
        <is>
          <t>TC-316</t>
        </is>
      </c>
      <c r="B10" s="14" t="inlineStr">
        <is>
          <t>Пробелы по краям данных заявки удаляются</t>
        </is>
      </c>
      <c r="C10" s="14" t="inlineStr">
        <is>
          <t>Случайные пробелы после вставки не должны превращаться в часть имени или телефона и мешать поиску потенциального клиента.</t>
        </is>
      </c>
      <c r="D10" s="14" t="inlineStr">
        <is>
          <t>Подготовлены уникальные тестовые данные.</t>
        </is>
      </c>
      <c r="E10" s="14" t="inlineStr">
        <is>
          <t>1. Вставь в имя, телефон и компанию по несколько пробелов до и после текста.
2. Выбери CRM и нажми `Demo so'rash`.
3. Открой созданную карточку в админке.
4. Скопируй каждое значение в простой текстовый редактор.</t>
        </is>
      </c>
      <c r="F10" s="16" t="inlineStr">
        <is>
          <t>Medium</t>
        </is>
      </c>
      <c r="G10" s="16" t="inlineStr">
        <is>
          <t>Граничный</t>
        </is>
      </c>
      <c r="H10" s="16" t="inlineStr">
        <is>
          <t>UI+API</t>
        </is>
      </c>
      <c r="I10" s="14" t="inlineStr">
        <is>
          <t>Имя, телефон и компания сохранены без пробелов в начале и конце. Значимые пробелы внутри имени и названия компании не потеряны.</t>
        </is>
      </c>
      <c r="J10" s="14" t="inlineStr"/>
      <c r="K10" s="16" t="inlineStr">
        <is>
          <t>Not Run</t>
        </is>
      </c>
      <c r="L10" s="16" t="inlineStr">
        <is>
          <t>—</t>
        </is>
      </c>
    </row>
    <row r="11" ht="83.19999999999999" customHeight="1">
      <c r="A11" s="16" t="inlineStr">
        <is>
          <t>TC-317</t>
        </is>
      </c>
      <c r="B11" s="14" t="inlineStr">
        <is>
          <t>Пустые обязательные поля не отправляют заявку</t>
        </is>
      </c>
      <c r="C11" s="14" t="inlineStr">
        <is>
          <t>Имя, телефон и компания помечены обязательными. Проверяем каждое поле отдельно, чтобы пустая заявка не засоряла список и не показывала ложный успех.</t>
        </is>
      </c>
      <c r="D11" s="14" t="inlineStr">
        <is>
          <t>Открыта чистая форма Demo.</t>
        </is>
      </c>
      <c r="E11" s="14" t="inlineStr">
        <is>
          <t>1. Оставь все поля пустыми и нажми `Demo so'rash`.
2. Заполни всё, кроме `Ismingiz`, и снова нажми кнопку.
3. Повтори без `Telefon`.
4. Повтори без `Kompaniya`.
5. Проверь сетевые запросы во вкладке Network.</t>
        </is>
      </c>
      <c r="F11" s="16" t="inlineStr">
        <is>
          <t>High</t>
        </is>
      </c>
      <c r="G11" s="16" t="inlineStr">
        <is>
          <t>Негативный</t>
        </is>
      </c>
      <c r="H11" s="16" t="inlineStr">
        <is>
          <t>UI</t>
        </is>
      </c>
      <c r="I11" s="14" t="inlineStr">
        <is>
          <t>Браузер указывает на первое незаполненное обязательное поле. POST-запрос не отправляется, сообщение `So'rov qabul qilindi` не появляется.</t>
        </is>
      </c>
      <c r="J11" s="14" t="inlineStr"/>
      <c r="K11" s="16" t="inlineStr">
        <is>
          <t>Not Run</t>
        </is>
      </c>
      <c r="L11" s="16" t="inlineStr">
        <is>
          <t>—</t>
        </is>
      </c>
    </row>
    <row r="12" ht="83.19999999999999" customHeight="1">
      <c r="A12" s="16" t="inlineStr">
        <is>
          <t>TC-318</t>
        </is>
      </c>
      <c r="B12" s="14" t="inlineStr">
        <is>
          <t>Слишком короткий или буквенный телефон отклоняется</t>
        </is>
      </c>
      <c r="C12" s="14" t="inlineStr">
        <is>
          <t>Поле телефона разрешает цифры, пробелы, скобки, дефис и плюс, минимум девять знаков. Проверяем подсказку браузера и отсутствие мусорной заявки.</t>
        </is>
      </c>
      <c r="D12" s="14" t="inlineStr">
        <is>
          <t>Остальные обязательные поля формы заполнены допустимыми данными.</t>
        </is>
      </c>
      <c r="E12" s="14" t="inlineStr">
        <is>
          <t>1. Введи в `Telefon` значение `12345` и нажми `Demo so'rash`.
2. Замени его на `телефон123` и повтори.
3. Введи допустимый тестовый номер с `+`, пробелами и скобками.
4. Отправь форму и найди заявку в админке.</t>
        </is>
      </c>
      <c r="F12" s="16" t="inlineStr">
        <is>
          <t>High</t>
        </is>
      </c>
      <c r="G12" s="16" t="inlineStr">
        <is>
          <t>Негативный</t>
        </is>
      </c>
      <c r="H12" s="16" t="inlineStr">
        <is>
          <t>UI</t>
        </is>
      </c>
      <c r="I12" s="14" t="inlineStr">
        <is>
          <t>Первые два значения не отправляются. Допустимый номер принимается и сохраняется точно как ввёл посетитель; ложного сообщения об успехе для плохих значений нет.</t>
        </is>
      </c>
      <c r="J12" s="14" t="inlineStr"/>
      <c r="K12" s="16" t="inlineStr">
        <is>
          <t>Not Run</t>
        </is>
      </c>
      <c r="L12" s="16" t="inlineStr">
        <is>
          <t>—</t>
        </is>
      </c>
    </row>
    <row r="13" ht="122.8" customHeight="1">
      <c r="A13" s="16" t="inlineStr">
        <is>
          <t>TC-319</t>
        </is>
      </c>
      <c r="B13" s="14" t="inlineStr">
        <is>
          <t>Очень длинные данные заявки обрабатываются безопасно</t>
        </is>
      </c>
      <c r="C13" s="14" t="inlineStr">
        <is>
          <t>На форме и сервере нет видимого ограничения длины. Проверяем значения примерно по 5000 символов, чтобы запрос не обрушил страницу или базу.</t>
        </is>
      </c>
      <c r="D13" s="14" t="inlineStr">
        <is>
          <t>Подготовлены длинные тестовые имя и компания; используется staging.</t>
        </is>
      </c>
      <c r="E13" s="14" t="inlineStr">
        <is>
          <t>1. Вставь около 5000 букв в `Ismingiz` и `Kompaniya`.
2. Введи допустимый уникальный телефон и нажми `Demo so'rash`.
3. Проверь сообщение формы и код ответа во вкладке Network.
4. Если заявка принята, открой список и карточку в админке.
5. Проверь соседние строки и кнопки на широком и мобильном экране.</t>
        </is>
      </c>
      <c r="F13" s="16" t="inlineStr">
        <is>
          <t>High</t>
        </is>
      </c>
      <c r="G13" s="16" t="inlineStr">
        <is>
          <t>Граничный</t>
        </is>
      </c>
      <c r="H13" s="16" t="inlineStr">
        <is>
          <t>UI+API</t>
        </is>
      </c>
      <c r="I13" s="14" t="inlineStr">
        <is>
          <t>Система либо заранее сообщает понятный предел длины и не создаёт запись, либо без ошибки сохраняет текст как данные. Нет ответа 500, падения страницы, обрезания без предупреждения или поломки всей таблицы.</t>
        </is>
      </c>
      <c r="J13" s="14" t="inlineStr"/>
      <c r="K13" s="16" t="inlineStr">
        <is>
          <t>Not Run</t>
        </is>
      </c>
      <c r="L13" s="16" t="inlineStr">
        <is>
          <t>—</t>
        </is>
      </c>
    </row>
    <row r="14" ht="83.19999999999999" customHeight="1">
      <c r="A14" s="16" t="inlineStr">
        <is>
          <t>TC-320</t>
        </is>
      </c>
      <c r="B14" s="14" t="inlineStr">
        <is>
          <t>Текст, похожий на HTML, не выполняется в админке</t>
        </is>
      </c>
      <c r="C14" s="14" t="inlineStr">
        <is>
          <t>Публичную форму может заполнить кто угодно. Имя и компания должны показываться обычным текстом, даже если внутри записана строка, похожая на код страницы.</t>
        </is>
      </c>
      <c r="D14" s="14" t="inlineStr">
        <is>
          <t>Подготовлена безопасная тестовая строка `&lt;img src=x onerror=alert(1)&gt;` и уникальный телефон.</t>
        </is>
      </c>
      <c r="E14" s="14" t="inlineStr">
        <is>
          <t>1. Вставь тестовую строку в `Ismingiz` и `Kompaniya`.
2. Отправь демо-заявку.
3. Открой раздел «Лиды» в админке.
4. Открой карточку новой заявки.
5. Проверь, не появилось ли окно alert и не загрузилось ли постороннее изображение.</t>
        </is>
      </c>
      <c r="F14" s="16" t="inlineStr">
        <is>
          <t>Critical</t>
        </is>
      </c>
      <c r="G14" s="16" t="inlineStr">
        <is>
          <t>Негативный</t>
        </is>
      </c>
      <c r="H14" s="16" t="inlineStr">
        <is>
          <t>UI+API</t>
        </is>
      </c>
      <c r="I14" s="14" t="inlineStr">
        <is>
          <t>Строка отображается как обычный текст. Код не выполняется, посторонний запрос не отправляется, остальные заявки и кабинет работают нормально.</t>
        </is>
      </c>
      <c r="J14" s="14" t="inlineStr"/>
      <c r="K14" s="16" t="inlineStr">
        <is>
          <t>Not Run</t>
        </is>
      </c>
      <c r="L14" s="16" t="inlineStr">
        <is>
          <t>—</t>
        </is>
      </c>
    </row>
    <row r="15" ht="70" customHeight="1">
      <c r="A15" s="16" t="inlineStr">
        <is>
          <t>TC-321</t>
        </is>
      </c>
      <c r="B15" s="14" t="inlineStr">
        <is>
          <t>Двойное нажатие Demo не создаёт две заявки</t>
        </is>
      </c>
      <c r="C15" s="14" t="inlineStr">
        <is>
          <t>Во время отправки кнопка меняется на `Yuborilmoqda…` и блокируется. Проверяем защиту от быстрого двойного клика и медленной сети.</t>
        </is>
      </c>
      <c r="D15" s="14" t="inlineStr">
        <is>
          <t>Подготовлен уникальный телефон. В инструментах браузера включено медленное соединение.</t>
        </is>
      </c>
      <c r="E15" s="14" t="inlineStr">
        <is>
          <t>1. Заполни форму допустимыми данными.
2. Очень быстро дважды нажми `Demo so'rash`.
3. Пока запрос выполняется, попробуй нажать кнопку ещё раз.
4. После успеха открой «Лиды» и найди телефон.</t>
        </is>
      </c>
      <c r="F15" s="16" t="inlineStr">
        <is>
          <t>High</t>
        </is>
      </c>
      <c r="G15" s="16" t="inlineStr">
        <is>
          <t>Негативный</t>
        </is>
      </c>
      <c r="H15" s="16" t="inlineStr">
        <is>
          <t>UI+API</t>
        </is>
      </c>
      <c r="I15" s="14" t="inlineStr">
        <is>
          <t>Отправляется один POST-запрос и создаётся одна заявка. Кнопка недоступна во время отправки; сообщение об успехе появляется один раз.</t>
        </is>
      </c>
      <c r="J15" s="14" t="inlineStr"/>
      <c r="K15" s="16" t="inlineStr">
        <is>
          <t>Not Run</t>
        </is>
      </c>
      <c r="L15" s="16" t="inlineStr">
        <is>
          <t>—</t>
        </is>
      </c>
    </row>
    <row r="16" ht="96.39999999999999" customHeight="1">
      <c r="A16" s="16" t="inlineStr">
        <is>
          <t>TC-322</t>
        </is>
      </c>
      <c r="B16" s="14" t="inlineStr">
        <is>
          <t>После потери сети форму можно исправить и отправить снова</t>
        </is>
      </c>
      <c r="C16" s="14" t="inlineStr">
        <is>
          <t>Неудачная отправка не должна очищать введённые данные. Человек должен увидеть понятный запасной контакт и иметь возможность повторить запрос после восстановления сети.</t>
        </is>
      </c>
      <c r="D16" s="14" t="inlineStr">
        <is>
          <t>Форма заполнена уникальными допустимыми данными.</t>
        </is>
      </c>
      <c r="E16" s="14" t="inlineStr">
        <is>
          <t>1. Включи режим Offline в инструментах браузера.
2. Нажми `Demo so'rash`.
3. Проверь текст ошибки и ссылку `@operatorai_uz`.
4. Убедись, что введённые имя, телефон, компания, CRM и тариф остались в полях.
5. Верни сеть в Online и нажми `Demo so'rash` ещё раз.
6. Найди заявку в админке.</t>
        </is>
      </c>
      <c r="F16" s="16" t="inlineStr">
        <is>
          <t>High</t>
        </is>
      </c>
      <c r="G16" s="16" t="inlineStr">
        <is>
          <t>Негативный</t>
        </is>
      </c>
      <c r="H16" s="16" t="inlineStr">
        <is>
          <t>UI</t>
        </is>
      </c>
      <c r="I16" s="14" t="inlineStr">
        <is>
          <t>Без сети показано `Yuborilmadi. To'g'ridan-to'g'ri yozing: @operatorai_uz`, данные не потеряны. После восстановления создаётся одна заявка и появляется сообщение об успехе.</t>
        </is>
      </c>
      <c r="J16" s="14" t="inlineStr"/>
      <c r="K16" s="16" t="inlineStr">
        <is>
          <t>Not Run</t>
        </is>
      </c>
      <c r="L16" s="16" t="inlineStr">
        <is>
          <t>—</t>
        </is>
      </c>
    </row>
    <row r="17" ht="70" customHeight="1">
      <c r="A17" s="16" t="inlineStr">
        <is>
          <t>TC-323</t>
        </is>
      </c>
      <c r="B17" s="14" t="inlineStr">
        <is>
          <t>Ошибка базы не показывается посетителю как успех</t>
        </is>
      </c>
      <c r="C17" s="14" t="inlineStr">
        <is>
          <t>Если основное хранилище не сохранило заявку, лендинг обязан сообщить об ошибке. Успех допустим только после записи в базу Operator AI.</t>
        </is>
      </c>
      <c r="D17" s="14" t="inlineStr">
        <is>
          <t>На staging согласован безопасный способ временно заставить POST `/v1/leads` вернуть ошибку хранилища; реальные заявки не затрагиваются.</t>
        </is>
      </c>
      <c r="E17" s="14" t="inlineStr">
        <is>
          <t>1. Заполни форму уникальными тестовыми данными.
2. Включи согласованный отказ базы.
3. Нажми `Demo so'rash` и запиши код ответа.
4. Верни базу в нормальное состояние.
5. Поищи телефон в разделе «Лиды».</t>
        </is>
      </c>
      <c r="F17" s="16" t="inlineStr">
        <is>
          <t>Critical</t>
        </is>
      </c>
      <c r="G17" s="16" t="inlineStr">
        <is>
          <t>Негативный</t>
        </is>
      </c>
      <c r="H17" s="16" t="inlineStr">
        <is>
          <t>UI+API</t>
        </is>
      </c>
      <c r="I17" s="14" t="inlineStr">
        <is>
          <t>API возвращает ошибку, форма показывает `Yuborilmadi`, а не `So'rov qabul qilindi`. Запись с тестовым телефоном не появляется; после восстановления другие заявки принимаются нормально.</t>
        </is>
      </c>
      <c r="J17" s="14" t="inlineStr"/>
      <c r="K17" s="16" t="inlineStr">
        <is>
          <t>Not Run</t>
        </is>
      </c>
      <c r="L17" s="16" t="inlineStr">
        <is>
          <t>—</t>
        </is>
      </c>
    </row>
    <row r="18" ht="96.39999999999999" customHeight="1">
      <c r="A18" s="16" t="inlineStr">
        <is>
          <t>TC-324</t>
        </is>
      </c>
      <c r="B18" s="14" t="inlineStr">
        <is>
          <t>Недоступный Google Sheets не теряет заявку</t>
        </is>
      </c>
      <c r="C18" s="14" t="inlineStr">
        <is>
          <t>Google-таблица — только дополнительная копия. Код сначала сохраняет запись в своей базе; отказ таблицы не должен стоить компании потенциального клиента.</t>
        </is>
      </c>
      <c r="D18" s="14" t="inlineStr">
        <is>
          <t>На staging Google Sheets выключен или тестовый клиент зеркала настроен на безопасный отказ.</t>
        </is>
      </c>
      <c r="E18" s="14" t="inlineStr">
        <is>
          <t>1. Отправь с лендинга заявку с уникальным телефоном.
2. Проверь сообщение на лендинге и код POST `/v1/leads`.
3. Под супер-админом открой «Лиды».
4. Найди заявку и открой карточку.
5. Если доступен технический ответ API, проверь `status` и `error_message`.</t>
        </is>
      </c>
      <c r="F18" s="16" t="inlineStr">
        <is>
          <t>Critical</t>
        </is>
      </c>
      <c r="G18" s="16" t="inlineStr">
        <is>
          <t>Негативный</t>
        </is>
      </c>
      <c r="H18" s="16" t="inlineStr">
        <is>
          <t>UI+API</t>
        </is>
      </c>
      <c r="I18" s="14" t="inlineStr">
        <is>
          <t>Посетитель видит успешный приём, API отвечает 200, заявка есть в базе и админке. Технический статус может быть `failed`, но отказ зеркала не удаляет запись и не раскрывает посетителю внутренние детали.</t>
        </is>
      </c>
      <c r="J18" s="14" t="inlineStr"/>
      <c r="K18" s="16" t="inlineStr">
        <is>
          <t>Not Run</t>
        </is>
      </c>
      <c r="L18" s="16" t="inlineStr">
        <is>
          <t>—</t>
        </is>
      </c>
    </row>
    <row r="19" ht="109.6" customHeight="1">
      <c r="A19" s="16" t="inlineStr">
        <is>
          <t>TC-325</t>
        </is>
      </c>
      <c r="B19" s="14" t="inlineStr">
        <is>
          <t>Новый адрес заявок работает, старый остаётся совместимым</t>
        </is>
      </c>
      <c r="C19" s="14" t="inlineStr">
        <is>
          <t>Основной адрес переименован в `/v1/leads`. Старый `/v1/google-sheets/leads` временно оставлен для уже собранных версий лендинга. Проверяем оба без реальных секретов.</t>
        </is>
      </c>
      <c r="D19" s="14" t="inlineStr">
        <is>
          <t>Из .env известен {STAGE_API_URL}. Подготовлены два уникальных тестовых телефона.</t>
        </is>
      </c>
      <c r="E19" s="14" t="inlineStr">
        <is>
          <t>1. В Postman создай POST-запрос на `{STAGE_API_URL}/v1/leads`.
2. В Body выбери raw JSON и укажи `telefon_raqam`, `ism`, `kampaniya_nomi`, `crm`.
3. Отправь запрос и запиши код ответа.
4. Повтори с другим телефоном на `/v1/google-sheets/leads`.
5. В админке найди обе заявки.</t>
        </is>
      </c>
      <c r="F19" s="16" t="inlineStr">
        <is>
          <t>High</t>
        </is>
      </c>
      <c r="G19" s="16" t="inlineStr">
        <is>
          <t>Позитивный</t>
        </is>
      </c>
      <c r="H19" s="16" t="inlineStr">
        <is>
          <t>API</t>
        </is>
      </c>
      <c r="I19" s="14" t="inlineStr">
        <is>
          <t>Оба запроса приняты и создали по одной записи. Новый лендинг использует только `/v1/leads`; старый адрес помечен устаревшим в OpenAPI, но не возвращает 404.</t>
        </is>
      </c>
      <c r="J19" s="14" t="inlineStr"/>
      <c r="K19" s="16" t="inlineStr">
        <is>
          <t>Not Run</t>
        </is>
      </c>
      <c r="L19" s="16" t="inlineStr">
        <is>
          <t>—</t>
        </is>
      </c>
    </row>
    <row r="20" ht="70" customHeight="1">
      <c r="A20" s="16" t="inlineStr">
        <is>
          <t>TC-326</t>
        </is>
      </c>
      <c r="B20" s="14" t="inlineStr">
        <is>
          <t>Сервер отклоняет пустую и неизвестную CRM</t>
        </is>
      </c>
      <c r="C20" s="14" t="inlineStr">
        <is>
          <t>Список в браузере можно обойти прямым запросом. Сервер принимает только `AmoCRM`, `Bitrix` и `Boshqa`, иначе заявка не должна попадать в базу.</t>
        </is>
      </c>
      <c r="D20" s="14" t="inlineStr">
        <is>
          <t>Из .env известен {STAGE_API_URL}. Подготовлены уникальные телефоны.</t>
        </is>
      </c>
      <c r="E20" s="14" t="inlineStr">
        <is>
          <t>1. В Postman отправь допустимую заявку на `/v1/leads`, но оставь `crm` пустым.
2. Повтори с `crm` равным `Salesforce`.
3. Запиши код и текст обоих ответов.
4. Под супер-админом поищи оба телефона.</t>
        </is>
      </c>
      <c r="F20" s="16" t="inlineStr">
        <is>
          <t>High</t>
        </is>
      </c>
      <c r="G20" s="16" t="inlineStr">
        <is>
          <t>Негативный</t>
        </is>
      </c>
      <c r="H20" s="16" t="inlineStr">
        <is>
          <t>API</t>
        </is>
      </c>
      <c r="I20" s="14" t="inlineStr">
        <is>
          <t>Оба запроса получают 400/422 с понятным отказом. Записи не созданы, неизвестное значение не заменено молча на `Boshqa`.</t>
        </is>
      </c>
      <c r="J20" s="14" t="inlineStr"/>
      <c r="K20" s="16" t="inlineStr">
        <is>
          <t>Not Run</t>
        </is>
      </c>
      <c r="L20" s="16" t="inlineStr">
        <is>
          <t>—</t>
        </is>
      </c>
    </row>
    <row r="21" ht="96.39999999999999" customHeight="1">
      <c r="A21" s="16" t="inlineStr">
        <is>
          <t>TC-327</t>
        </is>
      </c>
      <c r="B21" s="14" t="inlineStr">
        <is>
          <t>Создание заявки публично, чтение доступно только супер-админу</t>
        </is>
      </c>
      <c r="C21" s="14" t="inlineStr">
        <is>
          <t>Посетитель не входит в систему, чтобы запросить Demo. Но список телефонов и компаний содержит персональные данные и должен быть закрыт от гостей, РОП и операторов.</t>
        </is>
      </c>
      <c r="D21" s="14" t="inlineStr">
        <is>
          <t>Из .env известны тестовые учётные записи трёх ролей и {STAGE_API_URL}.</t>
        </is>
      </c>
      <c r="E21" s="14" t="inlineStr">
        <is>
          <t>1. Без токена отправь безопасную тестовую заявку POST `/v1/leads`.
2. Без токена запроси GET `/v1/leads`.
3. Повтори GET с токеном РОП и затем оператора.
4. Запроси GET с токеном супер-админа.
5. Сравни ответы и убедись, что в отказах нет данных заявок.</t>
        </is>
      </c>
      <c r="F21" s="16" t="inlineStr">
        <is>
          <t>Critical</t>
        </is>
      </c>
      <c r="G21" s="16" t="inlineStr">
        <is>
          <t>Негативный</t>
        </is>
      </c>
      <c r="H21" s="16" t="inlineStr">
        <is>
          <t>API</t>
        </is>
      </c>
      <c r="I21" s="14" t="inlineStr">
        <is>
          <t>Публичный POST принят. GET без входа получает 401, РОП и оператор — 403; их ответы не содержат имён и телефонов. Супер-админ получает 200 и список.</t>
        </is>
      </c>
      <c r="J21" s="14" t="inlineStr"/>
      <c r="K21" s="16" t="inlineStr">
        <is>
          <t>Not Run</t>
        </is>
      </c>
      <c r="L21" s="16" t="inlineStr">
        <is>
          <t>—</t>
        </is>
      </c>
    </row>
    <row r="22" ht="83.19999999999999" customHeight="1">
      <c r="A22" s="16" t="inlineStr">
        <is>
          <t>TC-328</t>
        </is>
      </c>
      <c r="B22" s="14" t="inlineStr">
        <is>
          <t>Новые заявки идут первыми, страницы не теряют строки</t>
        </is>
      </c>
      <c r="C22" s="14" t="inlineStr">
        <is>
          <t>Раздел «Лиды» использует страницы по 5, 10 или 25 строк. Проверяем сортировку по времени и переходы между страницами.</t>
        </is>
      </c>
      <c r="D22" s="14" t="inlineStr">
        <is>
          <t>На staging есть минимум 12 тестовых заявок с различимым временем создания.</t>
        </is>
      </c>
      <c r="E22" s="14" t="inlineStr">
        <is>
          <t>1. Создай ещё одну заявку с меткой времени в имени.
2. Открой «Лиды» и выбери «Строк на странице: 5».
3. Проверь первую строку и счётчик рядом с заголовком «Лиды».
4. Перейди на вторую и третью страницу.
5. Вернись на первую, затем выбери 10 и 25 строк.</t>
        </is>
      </c>
      <c r="F22" s="16" t="inlineStr">
        <is>
          <t>Medium</t>
        </is>
      </c>
      <c r="G22" s="16" t="inlineStr">
        <is>
          <t>Граничный</t>
        </is>
      </c>
      <c r="H22" s="16" t="inlineStr">
        <is>
          <t>UI+API</t>
        </is>
      </c>
      <c r="I22" s="14" t="inlineStr">
        <is>
          <t>Самая новая заявка находится первой. При переходах нет пропусков и повторов, счётчик равен `totalItems`, диапазон строк и число страниц меняются правильно.</t>
        </is>
      </c>
      <c r="J22" s="14" t="inlineStr"/>
      <c r="K22" s="16" t="inlineStr">
        <is>
          <t>Not Run</t>
        </is>
      </c>
      <c r="L22" s="16" t="inlineStr">
        <is>
          <t>—</t>
        </is>
      </c>
    </row>
    <row r="23" ht="96.39999999999999" customHeight="1">
      <c r="A23" s="16" t="inlineStr">
        <is>
          <t>TC-329</t>
        </is>
      </c>
      <c r="B23" s="14" t="inlineStr">
        <is>
          <t>Карточка заявки показывает исходные данные и рабочий телефон</t>
        </is>
      </c>
      <c r="C23" s="14" t="inlineStr">
        <is>
          <t>Супер-админ открывает строку и должен увидеть то, что отправил посетитель, без технических названий полей.</t>
        </is>
      </c>
      <c r="D23" s="14" t="inlineStr">
        <is>
          <t>Есть новая заявка с известными именем, телефоном, компанией, CRM и тарифом.</t>
        </is>
      </c>
      <c r="E23" s="14" t="inlineStr">
        <is>
          <t>1. Открой «Лиды» и нажми строку заявки.
2. Сравни имя, телефон, компанию, CRM, «Выбранный тариф» и «Дата поступления».
3. Нажми ссылку телефона и проверь, что браузер предлагает звонок по этому номеру.
4. Нажми «Назад» и убедись, что вернулся тот же список.</t>
        </is>
      </c>
      <c r="F23" s="16" t="inlineStr">
        <is>
          <t>Medium</t>
        </is>
      </c>
      <c r="G23" s="16" t="inlineStr">
        <is>
          <t>Позитивный</t>
        </is>
      </c>
      <c r="H23" s="16" t="inlineStr">
        <is>
          <t>UI</t>
        </is>
      </c>
      <c r="I23" s="14" t="inlineStr">
        <is>
          <t>Карточка точно показывает данные заявки, понятные подписи и местное время. Телефон имеет ссылку `tel:` с тем же номером; возврат не сбрасывает список.</t>
        </is>
      </c>
      <c r="J23" s="14" t="inlineStr"/>
      <c r="K23" s="16" t="inlineStr">
        <is>
          <t>Not Run</t>
        </is>
      </c>
      <c r="L23" s="16" t="inlineStr">
        <is>
          <t>—</t>
        </is>
      </c>
    </row>
    <row r="24" ht="109.6" customHeight="1">
      <c r="A24" s="16" t="inlineStr">
        <is>
          <t>TC-330</t>
        </is>
      </c>
      <c r="B24" s="14" t="inlineStr">
        <is>
          <t>Из заявки создаётся один РОП с перенесёнными данными</t>
        </is>
      </c>
      <c r="C24" s="14" t="inlineStr">
        <is>
          <t>Супер-админ превращает потенциального клиента в компанию. Имя делится на имя и фамилию, а телефон, компания и тариф заранее подставляются и могут быть исправлены.</t>
        </is>
      </c>
      <c r="D24" s="14" t="inlineStr">
        <is>
          <t>Есть новая несконвертированная заявка с двухсловным именем и уникальным телефоном.</t>
        </is>
      </c>
      <c r="E24" s="14" t="inlineStr">
        <is>
          <t>1. Открой карточку и нажми «Создать РОП из лида».
2. Проверь заранее заполненные «Имя», «Фамилия», «Телефон», «Название компании» и «Тариф».
3. Добавь уникальный «Логин (username)» и пароль из тестового .env.
4. Нажми «Создать РОП».
5. Проверь сообщение и затем раздел «РОПы».
6. Вернись в карточку заявки.</t>
        </is>
      </c>
      <c r="F24" s="16" t="inlineStr">
        <is>
          <t>Critical</t>
        </is>
      </c>
      <c r="G24" s="16" t="inlineStr">
        <is>
          <t>Позитивный</t>
        </is>
      </c>
      <c r="H24" s="16" t="inlineStr">
        <is>
          <t>UI+API</t>
        </is>
      </c>
      <c r="I24" s="14" t="inlineStr">
        <is>
          <t>Создан один РОП с проверенными данными. Показано «РОП создан, лид сконвертирован», в карточке есть время «Конвертация» и текст «РОП уже создан из этого лида».</t>
        </is>
      </c>
      <c r="J24" s="14" t="inlineStr"/>
      <c r="K24" s="16" t="inlineStr">
        <is>
          <t>Not Run</t>
        </is>
      </c>
      <c r="L24" s="16" t="inlineStr">
        <is>
          <t>—</t>
        </is>
      </c>
    </row>
    <row r="25" ht="122.8" customHeight="1">
      <c r="A25" s="16" t="inlineStr">
        <is>
          <t>TC-331</t>
        </is>
      </c>
      <c r="B25" s="14" t="inlineStr">
        <is>
          <t>Сбой отметки конвертации не создаёт второго РОП</t>
        </is>
      </c>
      <c r="C25" s="14" t="inlineStr">
        <is>
          <t>Интерфейс создаёт РОП и отдельным запросом отмечает заявку. Если второй запрос упал, заявка выглядит открытой и повтор может создать дубликат компании. Проверяем восстановление этого частичного успеха.</t>
        </is>
      </c>
      <c r="D25" s="14" t="inlineStr">
        <is>
          <t>Есть новая тестовая заявка. На staging согласован способ отказать только PATCH `/v1/leads/{id}/convert`, не ломая POST создания РОП.</t>
        </is>
      </c>
      <c r="E25" s="14" t="inlineStr">
        <is>
          <t>1. Открой создание РОП из заявки и заполни уникальные данные.
2. Включи отказ PATCH и нажми «Создать РОП».
3. Верни PATCH в нормальное состояние.
4. Проверь раздел «РОПы» и карточку заявки.
5. Если кнопка создания осталась, нажми её и попробуй завершить восстановление без нового РОП.
6. Снова проверь число РОПов с этой компанией и телефоном.</t>
        </is>
      </c>
      <c r="F25" s="16" t="inlineStr">
        <is>
          <t>Critical</t>
        </is>
      </c>
      <c r="G25" s="16" t="inlineStr">
        <is>
          <t>Негативный</t>
        </is>
      </c>
      <c r="H25" s="16" t="inlineStr">
        <is>
          <t>UI+API</t>
        </is>
      </c>
      <c r="I25" s="14" t="inlineStr">
        <is>
          <t>Первый РОП не теряется, но интерфейс ясно сообщает о неполном завершении и позволяет повторить только отметку заявки. Второй РОП не создаётся. Если показан полный успех при открытой заявке или создаётся дубль — критический дефект согласованности.</t>
        </is>
      </c>
      <c r="J25" s="14" t="inlineStr"/>
      <c r="K25" s="16" t="inlineStr">
        <is>
          <t>Not Run</t>
        </is>
      </c>
      <c r="L25" s="16" t="inlineStr">
        <is>
          <t>—</t>
        </is>
      </c>
    </row>
    <row r="26" ht="96.39999999999999" customHeight="1">
      <c r="A26" s="16" t="inlineStr">
        <is>
          <t>TC-332</t>
        </is>
      </c>
      <c r="B26" s="14" t="inlineStr">
        <is>
          <t>Сконвертированную заявку нельзя превратить во второго РОП</t>
        </is>
      </c>
      <c r="C26" s="14" t="inlineStr">
        <is>
          <t>После успешного создания кнопка исчезает. Прямое повторение запроса также не должно перезаписывать историю или позволять незаметно сделать ещё одну компанию.</t>
        </is>
      </c>
      <c r="D26" s="14" t="inlineStr">
        <is>
          <t>Есть заявка со статусом «РОП создан» и известным временем конвертации.</t>
        </is>
      </c>
      <c r="E26" s="14" t="inlineStr">
        <is>
          <t>1. Открой карточку сконвертированной заявки.
2. Проверь отсутствие кнопки «Создать РОП из лида».
3. Обнови страницу и снова проверь карточку.
4. Через Postman повтори PATCH `/v1/leads/{id}/convert` с тем же тарифом.
5. Сравни время конвертации и количество РОПов до и после.</t>
        </is>
      </c>
      <c r="F26" s="16" t="inlineStr">
        <is>
          <t>High</t>
        </is>
      </c>
      <c r="G26" s="16" t="inlineStr">
        <is>
          <t>Негативный</t>
        </is>
      </c>
      <c r="H26" s="16" t="inlineStr">
        <is>
          <t>UI+API</t>
        </is>
      </c>
      <c r="I26" s="14" t="inlineStr">
        <is>
          <t>Интерфейс показывает «РОП уже создан из этого лида», нового РОП нет. Повторный запрос безопасно отклонён или идемпотентен: первоначальная история не искажена.</t>
        </is>
      </c>
      <c r="J26" s="14" t="inlineStr"/>
      <c r="K26" s="16" t="inlineStr">
        <is>
          <t>Not Run</t>
        </is>
      </c>
      <c r="L26" s="16" t="inlineStr">
        <is>
          <t>—</t>
        </is>
      </c>
    </row>
    <row r="27" ht="96.39999999999999" customHeight="1">
      <c r="A27" s="16" t="inlineStr">
        <is>
          <t>TC-333</t>
        </is>
      </c>
      <c r="B27" s="14" t="inlineStr">
        <is>
          <t>Бэкенд разрешает запрос именно с адреса staging-лендинга</t>
        </is>
      </c>
      <c r="C27" s="14" t="inlineStr">
        <is>
          <t>Лендинг и API работают на разных адресах, поэтому браузер проверяет CORS — список разрешённых источников. Неверная настройка выглядит как потеря всех заявок.</t>
        </is>
      </c>
      <c r="D27" s="14" t="inlineStr">
        <is>
          <t>Известны адреса staging-лендинга и staging API; проверка выполняется только на staging.</t>
        </is>
      </c>
      <c r="E27" s="14" t="inlineStr">
        <is>
          <t>1. Открой staging-лендинг и инструменты браузера, вкладку Network.
2. Отправь уникальную допустимую заявку.
3. Открой запрос OPTIONS, если браузер его отправил, и затем POST `/v1/leads`.
4. Проверь заголовок `Access-Control-Allow-Origin`.
5. Найди заявку в админке.</t>
        </is>
      </c>
      <c r="F27" s="16" t="inlineStr">
        <is>
          <t>Critical</t>
        </is>
      </c>
      <c r="G27" s="16" t="inlineStr">
        <is>
          <t>Позитивный</t>
        </is>
      </c>
      <c r="H27" s="16" t="inlineStr">
        <is>
          <t>UI+API</t>
        </is>
      </c>
      <c r="I27" s="14" t="inlineStr">
        <is>
          <t>Браузер не блокирует запрос по CORS. Разрешён именно адрес staging-лендинга, POST выполнен и заявка сохранена; в консоли нет ошибки `blocked by CORS policy`.</t>
        </is>
      </c>
      <c r="J27" s="14" t="inlineStr"/>
      <c r="K27" s="16" t="inlineStr">
        <is>
          <t>Not Run</t>
        </is>
      </c>
      <c r="L27" s="16" t="inlineStr">
        <is>
          <t>—</t>
        </is>
      </c>
    </row>
    <row r="28" ht="122.8" customHeight="1">
      <c r="A28" s="16" t="inlineStr">
        <is>
          <t>TC-334</t>
        </is>
      </c>
      <c r="B28" s="14" t="inlineStr">
        <is>
          <t>Смена статуса сбрасывает бюджет попыток нового этапа</t>
        </is>
      </c>
      <c r="C28" s="14" t="inlineStr">
        <is>
          <t>Проверяем риск R-9: счётчик хранится долго, но при реальном переходе лида на новый этап старые неудачные звонки не должны преждевременно отправить его в `Sifatsiz`. Повторное получение того же статуса сбросом не считается.</t>
        </is>
      </c>
      <c r="D28" s="14" t="inlineStr">
        <is>
          <t>У тестового лида в `Ko'tarmadi` ровно 3 попытки. В той же воронке есть рабочий статус `Yangi lid` или `Chala gaplashdi`.</t>
        </is>
      </c>
      <c r="E28" s="14" t="inlineStr">
        <is>
          <t>1. В AmoCRM переведи лид в другой рабочий статус и дождись синхронизации.
2. Через API или экран причины звонка проверь число попыток.
3. Выполни один тестовый недозвон и запиши новый счётчик.
4. Повтори синхронизацию того же статуса без изменения.
5. Проверь счётчик и очередь ещё раз.</t>
        </is>
      </c>
      <c r="F28" s="16" t="inlineStr">
        <is>
          <t>High</t>
        </is>
      </c>
      <c r="G28" s="16" t="inlineStr">
        <is>
          <t>Граничный</t>
        </is>
      </c>
      <c r="H28" s="16" t="inlineStr">
        <is>
          <t>UI+API</t>
        </is>
      </c>
      <c r="I28" s="14" t="inlineStr">
        <is>
          <t>После настоящей смены статуса новый цикл начинается с 0, после одного недозвона счётчик равен 1. Повторная синхронизация того же статуса не обнуляет его снова и не отправляет лид в `Sifatsiz`.</t>
        </is>
      </c>
      <c r="J28" s="14" t="inlineStr"/>
      <c r="K28" s="16" t="inlineStr">
        <is>
          <t>Not Run</t>
        </is>
      </c>
      <c r="L28" s="16" t="inlineStr">
        <is>
          <t>—</t>
        </is>
      </c>
    </row>
    <row r="29" ht="70" customHeight="1">
      <c r="A29" s="16" t="inlineStr">
        <is>
          <t>TC-335</t>
        </is>
      </c>
      <c r="B29" s="14" t="inlineStr">
        <is>
          <t>Staging-лендинг не отправляет заявки в production</t>
        </is>
      </c>
      <c r="C29" s="14" t="inlineStr">
        <is>
          <t>Адрес API в лендинге собирается во время публикации. Ошибка окружения может незаметно создать тестовую заявку в боевой базе — это запрещено.</t>
        </is>
      </c>
      <c r="D29" s="14" t="inlineStr">
        <is>
          <t>Открыт именно staging-лендинг. Из .env известен домен staging API; production не изменяем и не используем для проверки.</t>
        </is>
      </c>
      <c r="E29" s="14" t="inlineStr">
        <is>
          <t>1. Открой инструменты браузера, вкладку Network.
2. Заполни и отправь уникальную тестовую заявку.
3. Нажми на POST-запрос и посмотри полный Request URL.
4. Сравни его с доменом staging API из .env.
5. Найди запись только в staging-админке.</t>
        </is>
      </c>
      <c r="F29" s="16" t="inlineStr">
        <is>
          <t>Critical</t>
        </is>
      </c>
      <c r="G29" s="16" t="inlineStr">
        <is>
          <t>Негативный</t>
        </is>
      </c>
      <c r="H29" s="16" t="inlineStr">
        <is>
          <t>UI+API</t>
        </is>
      </c>
      <c r="I29" s="14" t="inlineStr">
        <is>
          <t>Request URL начинается с домена staging API и оканчивается `/v1/leads`. Production-домен нигде в запросе не используется; заявка видна на staging.</t>
        </is>
      </c>
      <c r="J29" s="14" t="inlineStr"/>
      <c r="K29" s="16" t="inlineStr">
        <is>
          <t>Not Run</t>
        </is>
      </c>
      <c r="L29" s="16" t="inlineStr">
        <is>
          <t>—</t>
        </is>
      </c>
    </row>
    <row r="30" ht="96.39999999999999" customHeight="1">
      <c r="A30" s="16" t="inlineStr">
        <is>
          <t>TC-336</t>
        </is>
      </c>
      <c r="B30" s="14" t="inlineStr">
        <is>
          <t>Staging-админка не использует production по умолчанию</t>
        </is>
      </c>
      <c r="C30" s="14" t="inlineStr">
        <is>
          <t>В коде админки есть запасной production URL, если `VITE_SERVER_URL` не задан. Приёмка публикации должна поймать такую ошибку до любых ручных или автоматических тестов.</t>
        </is>
      </c>
      <c r="D30" s="14" t="inlineStr">
        <is>
          <t>Открыта staging-админка. Из .env известен ожидаемый домен staging API.</t>
        </is>
      </c>
      <c r="E30" s="14" t="inlineStr">
        <is>
          <t>1. До ввода пароля открой вкладку Network и очисти список запросов.
2. Войди тестовой учётной записью staging.
3. Открой «Звонки», «Операторы» или другой доступный раздел.
4. Проверь Request URL запросов входа и данных.
5. Сравни домен с {STAGE_API_URL} из .env.</t>
        </is>
      </c>
      <c r="F30" s="16" t="inlineStr">
        <is>
          <t>Critical</t>
        </is>
      </c>
      <c r="G30" s="16" t="inlineStr">
        <is>
          <t>Негативный</t>
        </is>
      </c>
      <c r="H30" s="16" t="inlineStr">
        <is>
          <t>UI+API</t>
        </is>
      </c>
      <c r="I30" s="14" t="inlineStr">
        <is>
          <t>Все запросы админки идут только на staging API. При отсутствии корректного `VITE_SERVER_URL` публикация считается заблокированной; production не получает тестовые входы и изменения.</t>
        </is>
      </c>
      <c r="J30" s="14" t="inlineStr"/>
      <c r="K30" s="16" t="inlineStr">
        <is>
          <t>Not Run</t>
        </is>
      </c>
      <c r="L30" s="16" t="inlineStr">
        <is>
          <t>—</t>
        </is>
      </c>
    </row>
    <row r="31" ht="109.6" customHeight="1">
      <c r="A31" s="16" t="inlineStr">
        <is>
          <t>TC-337</t>
        </is>
      </c>
      <c r="B31" s="14" t="inlineStr">
        <is>
          <t>Известный пароль разработки не открывает root на staging</t>
        </is>
      </c>
      <c r="C31" s="14" t="inlineStr">
        <is>
          <t>Если `SUPERADMIN_PASSWORD` не задан при первом запуске, сервер создаёт `root` с известным небезопасным паролем. Проверяем риск R-5 без записи самого значения в Excel или журналы.</t>
        </is>
      </c>
      <c r="D31" s="14" t="inlineStr">
        <is>
          <t>Значение известного пароля разработки хранится у QA Lead в защищённом .env или менеджере секретов. Открыта страница входа staging, production не используется.</t>
        </is>
      </c>
      <c r="E31" s="14" t="inlineStr">
        <is>
          <t>1. Убедись у DevOps, что для staging задан `SUPERADMIN_PASSWORD`, не спрашивая его значение.
2. В поле «Логин» введи `root`.
3. В поле «Пароль» вставь плейсхолдер `{ИЗВЕСТНЫЙ_DEV_ПАРОЛЬ}` из защищённого хранилища.
4. Нажми «Войти».
5. Проверь журнал старта staging на предупреждение о небезопасном пароле, не копируя секреты.</t>
        </is>
      </c>
      <c r="F31" s="16" t="inlineStr">
        <is>
          <t>Critical</t>
        </is>
      </c>
      <c r="G31" s="16" t="inlineStr">
        <is>
          <t>Негативный</t>
        </is>
      </c>
      <c r="H31" s="16" t="inlineStr">
        <is>
          <t>UI+API</t>
        </is>
      </c>
      <c r="I31" s="14" t="inlineStr">
        <is>
          <t>Вход с известным паролем разработки отклонён, в журнале текущего запуска нет предупреждения `SUPERADMIN_PASSWORD not set`. Настоящий пароль нигде не показан и не записан в кейсе.</t>
        </is>
      </c>
      <c r="J31" s="14" t="inlineStr"/>
      <c r="K31" s="16" t="inlineStr">
        <is>
          <t>Not Run</t>
        </is>
      </c>
      <c r="L31" s="16" t="inlineStr">
        <is>
          <t>—</t>
        </is>
      </c>
    </row>
  </sheetData>
  <autoFilter ref="A1:L31"/>
  <conditionalFormatting sqref="K2:K6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61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61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61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32" customWidth="1" min="4" max="4"/>
    <col width="58" customWidth="1" min="5" max="5"/>
    <col width="11" customWidth="1" min="6" max="6"/>
    <col width="13" customWidth="1" min="7" max="7"/>
    <col width="12" customWidth="1" min="8" max="8"/>
    <col width="46" customWidth="1" min="9" max="9"/>
    <col width="26" customWidth="1" min="10" max="10"/>
    <col width="11" customWidth="1" min="11" max="11"/>
    <col width="14" customWidth="1" min="12" max="12"/>
  </cols>
  <sheetData>
    <row r="1" ht="28" customHeight="1">
      <c r="A1" s="15" t="inlineStr">
        <is>
          <t>ID</t>
        </is>
      </c>
      <c r="B1" s="15" t="inlineStr">
        <is>
          <t>Краткое описание</t>
        </is>
      </c>
      <c r="C1" s="15" t="inlineStr">
        <is>
          <t>Полное описание</t>
        </is>
      </c>
      <c r="D1" s="15" t="inlineStr">
        <is>
          <t>Предусловия</t>
        </is>
      </c>
      <c r="E1" s="15" t="inlineStr">
        <is>
          <t>Шаги</t>
        </is>
      </c>
      <c r="F1" s="15" t="inlineStr">
        <is>
          <t>Приоритет</t>
        </is>
      </c>
      <c r="G1" s="15" t="inlineStr">
        <is>
          <t>Тип</t>
        </is>
      </c>
      <c r="H1" s="15" t="inlineStr">
        <is>
          <t>Способ проверки</t>
        </is>
      </c>
      <c r="I1" s="15" t="inlineStr">
        <is>
          <t>Ожидаемый результат</t>
        </is>
      </c>
      <c r="J1" s="15" t="inlineStr">
        <is>
          <t>Фактический результат</t>
        </is>
      </c>
      <c r="K1" s="15" t="inlineStr">
        <is>
          <t>Статус</t>
        </is>
      </c>
      <c r="L1" s="15" t="inlineStr">
        <is>
          <t>Автоматизация</t>
        </is>
      </c>
    </row>
    <row r="2" ht="83.19999999999999" customHeight="1">
      <c r="A2" s="16" t="inlineStr">
        <is>
          <t>TC-338</t>
        </is>
      </c>
      <c r="B2" s="14" t="inlineStr">
        <is>
          <t>Перенос визита на завтра возвращает лид в Uchrashuv</t>
        </is>
      </c>
      <c r="C2" s="14" t="inlineStr">
        <is>
          <t>Утверждённое правило: если встречу из сегодняшнего дня перенесли на завтра или позже, лид больше не считается сегодняшним и возвращается в поток `Uchrashuv`.</t>
        </is>
      </c>
      <c r="D2" s="14" t="inlineStr">
        <is>
          <t>Функция переноса визита реализована и выложена на staging. Есть лид в `Bugun keladi` со встречей сегодня; известен поддерживаемый релизом способ изменить время.</t>
        </is>
      </c>
      <c r="E2" s="14" t="inlineStr">
        <is>
          <t>1. Запиши текущий статус и время встречи лида.
2. Перенеси встречу на завтра в то же местное время.
3. Дождись синхронизации Operator AI с AmoCRM.
4. Обнови карточку и очередь назначенного оператора.
5. Проверь историю статусов в AmoCRM.</t>
        </is>
      </c>
      <c r="F2" s="16" t="inlineStr">
        <is>
          <t>Critical</t>
        </is>
      </c>
      <c r="G2" s="16" t="inlineStr">
        <is>
          <t>Позитивный</t>
        </is>
      </c>
      <c r="H2" s="16" t="inlineStr">
        <is>
          <t>UI+API</t>
        </is>
      </c>
      <c r="I2" s="14" t="inlineStr">
        <is>
          <t>Время встречи обновлено, лид один раз перешёл назад в статус класса `Uchrashuv` той же воронки и исчез из сегодняшней очереди. Другие поля не потеряны.</t>
        </is>
      </c>
      <c r="J2" s="14" t="inlineStr"/>
      <c r="K2" s="16" t="inlineStr">
        <is>
          <t>Blocked</t>
        </is>
      </c>
      <c r="L2" s="16" t="inlineStr">
        <is>
          <t>—</t>
        </is>
      </c>
    </row>
    <row r="3" ht="96.39999999999999" customHeight="1">
      <c r="A3" s="16" t="inlineStr">
        <is>
          <t>TC-339</t>
        </is>
      </c>
      <c r="B3" s="14" t="inlineStr">
        <is>
          <t>Перенос визита внутри сегодня перезапускает Bugun keladi</t>
        </is>
      </c>
      <c r="C3" s="14" t="inlineStr">
        <is>
          <t>Если меняется только час сегодняшнего визита, лид остаётся в сегодняшнем потоке, но его доступность пересчитывается относительно нового времени.</t>
        </is>
      </c>
      <c r="D3" s="14" t="inlineStr">
        <is>
          <t>Функция выложена на staging. Есть лид `Bugun keladi` со встречей сегодня и настроено правило звонить за известное число минут до прихода.</t>
        </is>
      </c>
      <c r="E3" s="14" t="inlineStr">
        <is>
          <t>1. Запиши старое время визита и момент, когда лид должен попасть в очередь.
2. Перенеси визит на более поздний час сегодня.
3. Дождись синхронизации.
4. Проверь статус, новое время и очередь до новой границы.
5. После наступления границы снова проверь очередь.</t>
        </is>
      </c>
      <c r="F3" s="16" t="inlineStr">
        <is>
          <t>Critical</t>
        </is>
      </c>
      <c r="G3" s="16" t="inlineStr">
        <is>
          <t>Граничный</t>
        </is>
      </c>
      <c r="H3" s="16" t="inlineStr">
        <is>
          <t>UI+API</t>
        </is>
      </c>
      <c r="I3" s="14" t="inlineStr">
        <is>
          <t>Лид остаётся или заново переводится в `Bugun keladi`, старое время больше не влияет. До новой границы его нет в очереди, после границы он появляется один раз.</t>
        </is>
      </c>
      <c r="J3" s="14" t="inlineStr"/>
      <c r="K3" s="16" t="inlineStr">
        <is>
          <t>Blocked</t>
        </is>
      </c>
      <c r="L3" s="16" t="inlineStr">
        <is>
          <t>—</t>
        </is>
      </c>
    </row>
    <row r="4" ht="83.19999999999999" customHeight="1">
      <c r="A4" s="16" t="inlineStr">
        <is>
          <t>TC-340</t>
        </is>
      </c>
      <c r="B4" s="14" t="inlineStr">
        <is>
          <t>Повтор одной и той же даты не запускает бесконечные переходы</t>
        </is>
      </c>
      <c r="C4" s="14" t="inlineStr">
        <is>
          <t>Синхронизация и вебхук могут несколько раз принести одинаковое время. Повтор не должен качать лид между `Uchrashuv` и `Bugun keladi` или создавать одинаковые записи.</t>
        </is>
      </c>
      <c r="D4" s="14" t="inlineStr">
        <is>
          <t>Функция переноса выложена. Тестовый лид уже успешно обработал одно изменение времени.</t>
        </is>
      </c>
      <c r="E4" s="14" t="inlineStr">
        <is>
          <t>1. Запиши текущие статус, время встречи и историю изменений.
2. Трижды отправь или синхронизируй то же самое время без новых изменений.
3. Дождись двух фоновых проходов.
4. Проверь Operator AI, AmoCRM и очередь.</t>
        </is>
      </c>
      <c r="F4" s="16" t="inlineStr">
        <is>
          <t>High</t>
        </is>
      </c>
      <c r="G4" s="16" t="inlineStr">
        <is>
          <t>Негативный</t>
        </is>
      </c>
      <c r="H4" s="16" t="inlineStr">
        <is>
          <t>UI+API</t>
        </is>
      </c>
      <c r="I4" s="14" t="inlineStr">
        <is>
          <t>Статус и очередь не дёргаются повторно, в истории нет одинаковых автоматических переходов, лид не дублируется и не захватывается несколько раз.</t>
        </is>
      </c>
      <c r="J4" s="14" t="inlineStr"/>
      <c r="K4" s="16" t="inlineStr">
        <is>
          <t>Blocked</t>
        </is>
      </c>
      <c r="L4" s="16" t="inlineStr">
        <is>
          <t>—</t>
        </is>
      </c>
    </row>
    <row r="5" ht="70" customHeight="1">
      <c r="A5" s="16" t="inlineStr">
        <is>
          <t>TC-341</t>
        </is>
      </c>
      <c r="B5" s="14" t="inlineStr">
        <is>
          <t>Граница сегодня и завтра считается по Ташкенту</t>
        </is>
      </c>
      <c r="C5" s="14" t="inlineStr">
        <is>
          <t>Решение зависит от календарного дня. Около полуночи UTC-дата и местная дата различаются, поэтому сравнение должно использовать `Asia/Tashkent`.</t>
        </is>
      </c>
      <c r="D5" s="14" t="inlineStr">
        <is>
          <t>Функция выложена. Можно выполнить тест около 00:00 Ташкента или использовать контролируемое время staging.</t>
        </is>
      </c>
      <c r="E5" s="14" t="inlineStr">
        <is>
          <t>1. Подготовь лид со встречей незадолго до местной полуночи.
2. Перенеси её на время сразу после 00:00 по Ташкенту.
3. Дождись обработки и запиши местные дату и время.
4. Проверь выбранный поток и очередь.</t>
        </is>
      </c>
      <c r="F5" s="16" t="inlineStr">
        <is>
          <t>Critical</t>
        </is>
      </c>
      <c r="G5" s="16" t="inlineStr">
        <is>
          <t>Граничный</t>
        </is>
      </c>
      <c r="H5" s="16" t="inlineStr">
        <is>
          <t>UI+API</t>
        </is>
      </c>
      <c r="I5" s="14" t="inlineStr">
        <is>
          <t>Время после 00:00 считается следующим днём по Ташкенту, поэтому лид возвращается в `Uchrashuv`, а не остаётся в сегодняшнем `Bugun keladi`.</t>
        </is>
      </c>
      <c r="J5" s="14" t="inlineStr"/>
      <c r="K5" s="16" t="inlineStr">
        <is>
          <t>Blocked</t>
        </is>
      </c>
      <c r="L5" s="16" t="inlineStr">
        <is>
          <t>—</t>
        </is>
      </c>
    </row>
    <row r="6" ht="70" customHeight="1">
      <c r="A6" s="16" t="inlineStr">
        <is>
          <t>TC-342</t>
        </is>
      </c>
      <c r="B6" s="14" t="inlineStr">
        <is>
          <t>Поле оплаты заполняется человеком и сохраняет три состояния</t>
        </is>
      </c>
      <c r="C6" s="14" t="inlineStr">
        <is>
          <t>Утверждено ручное поле «оплатил / не оплатил». До решения человека оно не должно угадываться; после выбора значение сохраняется и синхронизируется.</t>
        </is>
      </c>
      <c r="D6" s="14" t="inlineStr">
        <is>
          <t>Поле оплаты реализовано и выложено на staging. Есть тестовый лид в `Markazga keldi`.</t>
        </is>
      </c>
      <c r="E6" s="14" t="inlineStr">
        <is>
          <t>1. Открой карточку лида и найди поле оплаты.
2. Проверь исходное состояние «не выбрано».
3. Выбери «Не оплатил» и сохрани.
4. Обнови страницу и дождись синхронизации с AmoCRM.
5. Смени значение на «Оплатил» и повтори проверку.</t>
        </is>
      </c>
      <c r="F6" s="16" t="inlineStr">
        <is>
          <t>High</t>
        </is>
      </c>
      <c r="G6" s="16" t="inlineStr">
        <is>
          <t>Позитивный</t>
        </is>
      </c>
      <c r="H6" s="16" t="inlineStr">
        <is>
          <t>UI+API</t>
        </is>
      </c>
      <c r="I6" s="14" t="inlineStr">
        <is>
          <t>Поле различает «не выбрано», «Не оплатил» и «Оплатил». Выбор сохраняется после обновления и одинаково отображается в Operator AI и AmoCRM; другие поля не меняются.</t>
        </is>
      </c>
      <c r="J6" s="14" t="inlineStr"/>
      <c r="K6" s="16" t="inlineStr">
        <is>
          <t>Blocked</t>
        </is>
      </c>
      <c r="L6" s="16" t="inlineStr">
        <is>
          <t>—</t>
        </is>
      </c>
    </row>
    <row r="7" ht="70" customHeight="1">
      <c r="A7" s="16" t="inlineStr">
        <is>
          <t>TC-343</t>
        </is>
      </c>
      <c r="B7" s="14" t="inlineStr">
        <is>
          <t>AI и повторная синхронизация не меняют ручной признак оплаты</t>
        </is>
      </c>
      <c r="C7" s="14" t="inlineStr">
        <is>
          <t>Поле объявлено ручным. Текст разговора или старые данные синхронизации не должны самостоятельно поставить или стереть факт оплаты.</t>
        </is>
      </c>
      <c r="D7" s="14" t="inlineStr">
        <is>
          <t>Функция выложена. У тестового лида человек выбрал «Оплатил»; есть тестовая запись разговора со словами про оплату и доступна повторная синхронизация.</t>
        </is>
      </c>
      <c r="E7" s="14" t="inlineStr">
        <is>
          <t>1. Запусти AI-анализ тестового звонка этого лида.
2. Не подтверждай изменение поля оплаты вручную.
3. Запусти повторную синхронизацию с AmoCRM.
4. Обнови карточку и проверь историю изменения поля.</t>
        </is>
      </c>
      <c r="F7" s="16" t="inlineStr">
        <is>
          <t>High</t>
        </is>
      </c>
      <c r="G7" s="16" t="inlineStr">
        <is>
          <t>Негативный</t>
        </is>
      </c>
      <c r="H7" s="16" t="inlineStr">
        <is>
          <t>UI+API</t>
        </is>
      </c>
      <c r="I7" s="14" t="inlineStr">
        <is>
          <t>Ручное значение «Оплатил» сохранилось. AI не предлагает и не записывает это поле, повторная синхронизация не стирает выбор без реального изменения человеком.</t>
        </is>
      </c>
      <c r="J7" s="14" t="inlineStr"/>
      <c r="K7" s="16" t="inlineStr">
        <is>
          <t>Blocked</t>
        </is>
      </c>
      <c r="L7" s="16" t="inlineStr">
        <is>
          <t>—</t>
        </is>
      </c>
    </row>
    <row r="8" ht="96.39999999999999" customHeight="1">
      <c r="A8" s="16" t="inlineStr">
        <is>
          <t>TC-344</t>
        </is>
      </c>
      <c r="B8" s="14" t="inlineStr">
        <is>
          <t>Неоплативший клиент возвращается точно к назначенному звонку</t>
        </is>
      </c>
      <c r="C8" s="14" t="inlineStr">
        <is>
          <t>Ключевой будущий путь: сотрудник центра отмечает «Не оплатил» и ставит время следующего звонка в AmoCRM; до этого времени лид не беспокоит операторов.</t>
        </is>
      </c>
      <c r="D8" s="14" t="inlineStr">
        <is>
          <t>Поле оплаты реализовано. Есть лид `Markazga keldi`, сотрудник тестового центра может изменять его в AmoCRM, оператор назначен на воронку.</t>
        </is>
      </c>
      <c r="E8" s="14" t="inlineStr">
        <is>
          <t>1. В AmoCRM выбери «Не оплатил» и поставь время следующего звонка через 10 минут.
2. Дождись синхронизации в Operator AI.
3. За минуту до времени проверь очередь оператора.
4. После наступления времени дождись обновления очереди.
5. Получи лид и проверь причину звонка.</t>
        </is>
      </c>
      <c r="F8" s="16" t="inlineStr">
        <is>
          <t>Critical</t>
        </is>
      </c>
      <c r="G8" s="16" t="inlineStr">
        <is>
          <t>Позитивный</t>
        </is>
      </c>
      <c r="H8" s="16" t="inlineStr">
        <is>
          <t>UI+API</t>
        </is>
      </c>
      <c r="I8" s="14" t="inlineStr">
        <is>
          <t>До назначенного времени лида нет в очереди. После наступления он появляется один раз с правильной причиной и временем; отметка «Не оплатил» сохранена.</t>
        </is>
      </c>
      <c r="J8" s="14" t="inlineStr"/>
      <c r="K8" s="16" t="inlineStr">
        <is>
          <t>Blocked</t>
        </is>
      </c>
      <c r="L8" s="16" t="inlineStr">
        <is>
          <t>—</t>
        </is>
      </c>
    </row>
    <row r="9" ht="70" customHeight="1">
      <c r="A9" s="16" t="inlineStr">
        <is>
          <t>TC-345</t>
        </is>
      </c>
      <c r="B9" s="14" t="inlineStr">
        <is>
          <t>Неверное значение оплаты не сохраняется свободным текстом</t>
        </is>
      </c>
      <c r="C9" s="14" t="inlineStr">
        <is>
          <t>Прямой запрос не должен записать `maybe`, число или пустую строку как четвёртое состояние. Отчёты и фильтры должны опираться на фиксированные значения.</t>
        </is>
      </c>
      <c r="D9" s="14" t="inlineStr">
        <is>
          <t>Функция выложена; известен новый endpoint или поле API из OpenAPI staging.</t>
        </is>
      </c>
      <c r="E9" s="14" t="inlineStr">
        <is>
          <t>1. В Postman скопируй допустимый запрос изменения поля оплаты.
2. Замени значение на `maybe` и отправь.
3. Повтори с числом и с пробелами.
4. Обнови карточку лида и AmoCRM.</t>
        </is>
      </c>
      <c r="F9" s="16" t="inlineStr">
        <is>
          <t>High</t>
        </is>
      </c>
      <c r="G9" s="16" t="inlineStr">
        <is>
          <t>Негативный</t>
        </is>
      </c>
      <c r="H9" s="16" t="inlineStr">
        <is>
          <t>API</t>
        </is>
      </c>
      <c r="I9" s="14" t="inlineStr">
        <is>
          <t>Сервер отвечает 400/422, объясняет допустимые варианты и не меняет прежнее значение. В интерфейсе не появляется неизвестное четвёртое состояние.</t>
        </is>
      </c>
      <c r="J9" s="14" t="inlineStr"/>
      <c r="K9" s="16" t="inlineStr">
        <is>
          <t>Blocked</t>
        </is>
      </c>
      <c r="L9" s="16" t="inlineStr">
        <is>
          <t>—</t>
        </is>
      </c>
    </row>
    <row r="10" ht="96.39999999999999" customHeight="1">
      <c r="A10" s="16" t="inlineStr">
        <is>
          <t>TC-346</t>
        </is>
      </c>
      <c r="B10" s="14" t="inlineStr">
        <is>
          <t>Карточка интеграций показывает время последней синхронизации</t>
        </is>
      </c>
      <c r="C10" s="14" t="inlineStr">
        <is>
          <t>Утверждённая карточка должна отвечать на простой вопрос: когда система в последний раз успешно обменивалась данными с AmoCRM и OnlinePBX.</t>
        </is>
      </c>
      <c r="D10" s="14" t="inlineStr">
        <is>
          <t>Карточка состояния интеграций реализована и выложена; команда указала раздел и роли, которые её видят. Настроены тестовые AmoCRM и OnlinePBX.</t>
        </is>
      </c>
      <c r="E10" s="14" t="inlineStr">
        <is>
          <t>1. Открой карточку состояния интеграций.
2. Запиши время последней синхронизации AmoCRM и OnlinePBX.
3. Запусти безопасную тестовую синхронизацию.
4. Обнови карточку без перезагрузки или один раз перезагрузи страницу.
5. Сравни время с журналом выполнения на staging.</t>
        </is>
      </c>
      <c r="F10" s="16" t="inlineStr">
        <is>
          <t>High</t>
        </is>
      </c>
      <c r="G10" s="16" t="inlineStr">
        <is>
          <t>Позитивный</t>
        </is>
      </c>
      <c r="H10" s="16" t="inlineStr">
        <is>
          <t>UI+API</t>
        </is>
      </c>
      <c r="I10" s="14" t="inlineStr">
        <is>
          <t>Для каждой интеграции отдельно показано понятное местное время последнего успешного обмена. После синхронизации оно обновилось и совпадает с журналом в разумном допуске.</t>
        </is>
      </c>
      <c r="J10" s="14" t="inlineStr"/>
      <c r="K10" s="16" t="inlineStr">
        <is>
          <t>Blocked</t>
        </is>
      </c>
      <c r="L10" s="16" t="inlineStr">
        <is>
          <t>—</t>
        </is>
      </c>
    </row>
    <row r="11" ht="109.6" customHeight="1">
      <c r="A11" s="16" t="inlineStr">
        <is>
          <t>TC-347</t>
        </is>
      </c>
      <c r="B11" s="14" t="inlineStr">
        <is>
          <t>Карточка отличает рабочий вебхук от недоступного</t>
        </is>
      </c>
      <c r="C11" s="14" t="inlineStr">
        <is>
          <t>Состояние вебхука нельзя показывать зелёным только потому, что конфигурация существует. Проверяем реальное получение события и понятное предупреждение при отказе.</t>
        </is>
      </c>
      <c r="D11" s="14" t="inlineStr">
        <is>
          <t>Карточка выложена. На staging можно безопасно выключить и вернуть тестовый вебхук AmoCRM или OnlinePBX.</t>
        </is>
      </c>
      <c r="E11" s="14" t="inlineStr">
        <is>
          <t>1. При рабочем вебхуке отправь одно тестовое событие и открой карточку.
2. Запиши состояние и время последнего события.
3. Временно выключи тестовый вебхук и дождись установленного порога.
4. Обнови карточку и прочитай предупреждение.
5. Верни вебхук, отправь событие и снова обнови карточку.</t>
        </is>
      </c>
      <c r="F11" s="16" t="inlineStr">
        <is>
          <t>Critical</t>
        </is>
      </c>
      <c r="G11" s="16" t="inlineStr">
        <is>
          <t>Негативный</t>
        </is>
      </c>
      <c r="H11" s="16" t="inlineStr">
        <is>
          <t>UI+API</t>
        </is>
      </c>
      <c r="I11" s="14" t="inlineStr">
        <is>
          <t>Рабочий вебхук отмечен как исправный с актуальным временем. После отказа состояние меняется на предупреждение или ошибку и объясняет действие; после восстановления возвращается в норму без ручной правки базы.</t>
        </is>
      </c>
      <c r="J11" s="14" t="inlineStr"/>
      <c r="K11" s="16" t="inlineStr">
        <is>
          <t>Blocked</t>
        </is>
      </c>
      <c r="L11" s="16" t="inlineStr">
        <is>
          <t>—</t>
        </is>
      </c>
    </row>
    <row r="12" ht="109.6" customHeight="1">
      <c r="A12" s="16" t="inlineStr">
        <is>
          <t>TC-348</t>
        </is>
      </c>
      <c r="B12" s="14" t="inlineStr">
        <is>
          <t>Зависшие звонки видны и исчезают после обработки</t>
        </is>
      </c>
      <c r="C12" s="14" t="inlineStr">
        <is>
          <t>Карточка должна показывать звонки, которые не прошли ожидаемую обработку, а не только общий зелёный индикатор. Это защищает от молчаливой потери AI-анализа.</t>
        </is>
      </c>
      <c r="D12" s="14" t="inlineStr">
        <is>
          <t>Карточка выложена. На staging создан один безопасный звонок, остановленный на известном этапе обработки дольше установленного порога.</t>
        </is>
      </c>
      <c r="E12" s="14" t="inlineStr">
        <is>
          <t>1. Открой карточку и найди показатель «зависшие звонки».
2. Сравни число и идентификатор с тестовым событием через API.
3. Не показывая секретов, открой доступные детали причины.
4. Возобнови или повтори обработку звонка.
5. Обнови карточку после успешного завершения.</t>
        </is>
      </c>
      <c r="F12" s="16" t="inlineStr">
        <is>
          <t>Critical</t>
        </is>
      </c>
      <c r="G12" s="16" t="inlineStr">
        <is>
          <t>Позитивный</t>
        </is>
      </c>
      <c r="H12" s="16" t="inlineStr">
        <is>
          <t>UI+API</t>
        </is>
      </c>
      <c r="I12" s="14" t="inlineStr">
        <is>
          <t>Зависший тестовый звонок учтён один раз и имеет понятный этап/причину. После успешной обработки он исчезает из активного числа, но при наличии истории не стирается бесследно.</t>
        </is>
      </c>
      <c r="J12" s="14" t="inlineStr"/>
      <c r="K12" s="16" t="inlineStr">
        <is>
          <t>Blocked</t>
        </is>
      </c>
      <c r="L12" s="16" t="inlineStr">
        <is>
          <t>—</t>
        </is>
      </c>
    </row>
    <row r="13" ht="96.39999999999999" customHeight="1">
      <c r="A13" s="16" t="inlineStr">
        <is>
          <t>TC-349</t>
        </is>
      </c>
      <c r="B13" s="14" t="inlineStr">
        <is>
          <t>Состояние интеграций изолировано и не раскрывает секреты</t>
        </is>
      </c>
      <c r="C13" s="14" t="inlineStr">
        <is>
          <t>Диагностика содержит технические данные разных клиентов. РОП не должен видеть здоровье чужой компании, а токены, ключи и полные секретные адреса не нужны даже супер-админу.</t>
        </is>
      </c>
      <c r="D13" s="14" t="inlineStr">
        <is>
          <t>Карточка выложена. Есть РОП-А и РОП-Б с разным состоянием интеграций и тестовые учётные записи разрешённых ролей.</t>
        </is>
      </c>
      <c r="E13" s="14" t="inlineStr">
        <is>
          <t>1. Войди под РОП-А и открой доступную ему карточку, если роль поддержана.
2. Попробуй запросить через API состояние РОП-Б, подставив его ID.
3. Под супер-админом открой обе карточки.
4. Проверь экран, ответ API и безопасные журналы браузера на токены, ключи и пароли.</t>
        </is>
      </c>
      <c r="F13" s="16" t="inlineStr">
        <is>
          <t>Critical</t>
        </is>
      </c>
      <c r="G13" s="16" t="inlineStr">
        <is>
          <t>Негативный</t>
        </is>
      </c>
      <c r="H13" s="16" t="inlineStr">
        <is>
          <t>UI+API</t>
        </is>
      </c>
      <c r="I13" s="14" t="inlineStr">
        <is>
          <t>РОП видит только свою компанию либо получает 403/404 на чужую. Супер-админ видит раздельные состояния, но ответы не содержат `client_secret`, access/refresh token, API key или полный webhook token.</t>
        </is>
      </c>
      <c r="J13" s="14" t="inlineStr"/>
      <c r="K13" s="16" t="inlineStr">
        <is>
          <t>Blocked</t>
        </is>
      </c>
      <c r="L13" s="16" t="inlineStr">
        <is>
          <t>—</t>
        </is>
      </c>
    </row>
    <row r="14" ht="96.39999999999999" customHeight="1">
      <c r="A14" s="16" t="inlineStr">
        <is>
          <t>TC-350</t>
        </is>
      </c>
      <c r="B14" s="14" t="inlineStr">
        <is>
          <t>Сбой карточки не останавливает звонки и синхронизацию</t>
        </is>
      </c>
      <c r="C14" s="14" t="inlineStr">
        <is>
          <t>Диагностический экран наблюдает за системой, но не должен становиться новой причиной отказа основных интеграций.</t>
        </is>
      </c>
      <c r="D14" s="14" t="inlineStr">
        <is>
          <t>Карточка выложена. На staging можно безопасно отказать только её endpoint или хранилище метрик, не выключая AmoCRM и OnlinePBX.</t>
        </is>
      </c>
      <c r="E14" s="14" t="inlineStr">
        <is>
          <t>1. Запиши рабочее состояние тестовой синхронизации и звонка.
2. Включи отказ только карточки здоровья.
3. Открой карточку и прочитай ошибку.
4. Выполни тестовую синхронизацию и обработай один тестовый звонок.
5. Верни карточку и обнови страницу.</t>
        </is>
      </c>
      <c r="F14" s="16" t="inlineStr">
        <is>
          <t>High</t>
        </is>
      </c>
      <c r="G14" s="16" t="inlineStr">
        <is>
          <t>Негативный</t>
        </is>
      </c>
      <c r="H14" s="16" t="inlineStr">
        <is>
          <t>UI+API</t>
        </is>
      </c>
      <c r="I14" s="14" t="inlineStr">
        <is>
          <t>Карточка показывает понятную ошибку без ложного зелёного состояния. Основные синхронизация и звонок продолжают работать; после восстановления актуальные показатели загружаются без перезапуска продукта.</t>
        </is>
      </c>
      <c r="J14" s="14" t="inlineStr"/>
      <c r="K14" s="16" t="inlineStr">
        <is>
          <t>Blocked</t>
        </is>
      </c>
      <c r="L14" s="16" t="inlineStr">
        <is>
          <t>—</t>
        </is>
      </c>
    </row>
  </sheetData>
  <autoFilter ref="A1:L14"/>
  <conditionalFormatting sqref="K2:K4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F2:F44" showDropDown="0" showInputMessage="0" showErrorMessage="0" allowBlank="1" errorTitle="Недопустимое значение" error="Выбери значение из списка: Critical, High, Medium, Low" type="list">
      <formula1>"Critical,High,Medium,Low"</formula1>
    </dataValidation>
    <dataValidation sqref="K2:K44" showDropDown="0" showInputMessage="0" showErrorMessage="0" allowBlank="1" errorTitle="Недопустимое значение" error="Выбери значение из списка: Not Run, Passed, Failed, Blocked" type="list">
      <formula1>"Not Run,Passed,Failed,Blocked"</formula1>
    </dataValidation>
    <dataValidation sqref="H2:H44" showDropDown="0" showInputMessage="0" showErrorMessage="0" allowBlank="1" errorTitle="Недопустимое значение" error="Выбери значение из списка: UI, API, UI+API" type="list">
      <formula1>"UI,API,UI+API"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2026-07-26T18:18:12Z</dcterms:created>
  <dcterms:modified xsi:type="dcterms:W3CDTF">2026-07-26T18:18:12Z</dcterms:modified>
</cp:coreProperties>
</file>